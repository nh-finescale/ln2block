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irkjankaper/Desktop/"/>
    </mc:Choice>
  </mc:AlternateContent>
  <xr:revisionPtr revIDLastSave="0" documentId="8_{CC0B1FB0-23B8-8545-B938-07478B7D665C}" xr6:coauthVersionLast="47" xr6:coauthVersionMax="47" xr10:uidLastSave="{00000000-0000-0000-0000-000000000000}"/>
  <bookViews>
    <workbookView xWindow="-33720" yWindow="1460" windowWidth="30800" windowHeight="18500" xr2:uid="{AB736944-4C1D-0647-892D-AD244D2AEA39}"/>
  </bookViews>
  <sheets>
    <sheet name="lncv" sheetId="1" r:id="rId1"/>
    <sheet name="HEX status" sheetId="2" r:id="rId2"/>
  </sheets>
  <definedNames>
    <definedName name="_xlnm.Print_Area" localSheetId="0">lncv!$A$1:$D$55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9" i="1" l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38" i="1"/>
  <c r="D27" i="1"/>
  <c r="D28" i="1"/>
  <c r="D29" i="1"/>
  <c r="D30" i="1"/>
  <c r="D31" i="1"/>
  <c r="D32" i="1"/>
  <c r="D33" i="1"/>
  <c r="D34" i="1"/>
  <c r="D35" i="1"/>
  <c r="D26" i="1"/>
  <c r="D7" i="1"/>
  <c r="D10" i="1"/>
  <c r="D17" i="2"/>
  <c r="E17" i="2" s="1"/>
  <c r="C21" i="2" s="1"/>
  <c r="D3" i="2"/>
  <c r="E3" i="2" s="1"/>
  <c r="C13" i="2" s="1"/>
  <c r="D9" i="1" l="1"/>
  <c r="D8" i="1"/>
  <c r="D12" i="1"/>
  <c r="D11" i="1"/>
  <c r="C12" i="2"/>
  <c r="D12" i="2" s="1"/>
  <c r="C11" i="2"/>
  <c r="D11" i="2" s="1"/>
  <c r="C30" i="2"/>
  <c r="D30" i="2" s="1"/>
  <c r="C10" i="2"/>
  <c r="D10" i="2" s="1"/>
  <c r="C29" i="2"/>
  <c r="C9" i="2"/>
  <c r="D9" i="2" s="1"/>
  <c r="C28" i="2"/>
  <c r="D28" i="2" s="1"/>
  <c r="C8" i="2"/>
  <c r="D8" i="2" s="1"/>
  <c r="C27" i="2"/>
  <c r="D27" i="2" s="1"/>
  <c r="C7" i="2"/>
  <c r="D7" i="2" s="1"/>
  <c r="C26" i="2"/>
  <c r="D26" i="2" s="1"/>
  <c r="C19" i="2"/>
  <c r="D19" i="2" s="1"/>
  <c r="C25" i="2"/>
  <c r="C36" i="2"/>
  <c r="C24" i="2"/>
  <c r="C31" i="2"/>
  <c r="D31" i="2" s="1"/>
  <c r="C5" i="2"/>
  <c r="D5" i="2" s="1"/>
  <c r="C35" i="2"/>
  <c r="D35" i="2" s="1"/>
  <c r="C23" i="2"/>
  <c r="C6" i="2"/>
  <c r="D6" i="2" s="1"/>
  <c r="C34" i="2"/>
  <c r="C22" i="2"/>
  <c r="C14" i="2"/>
  <c r="D14" i="2" s="1"/>
  <c r="C33" i="2"/>
  <c r="D33" i="2" s="1"/>
  <c r="C32" i="2"/>
  <c r="C20" i="2"/>
  <c r="D29" i="2"/>
  <c r="D25" i="2"/>
  <c r="D21" i="2"/>
  <c r="D24" i="2"/>
  <c r="D20" i="2"/>
  <c r="D36" i="2"/>
  <c r="D23" i="2"/>
  <c r="D34" i="2"/>
  <c r="D22" i="2"/>
  <c r="D32" i="2"/>
  <c r="D1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H2" authorId="0" shapeId="0" xr:uid="{8EB99EB0-BCB8-524C-8256-A13BB2344C06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  <comment ref="G8" authorId="0" shapeId="0" xr:uid="{78621782-8673-D04F-96F0-7107744DA320}">
      <text>
        <r>
          <rPr>
            <b/>
            <sz val="10"/>
            <color rgb="FF000000"/>
            <rFont val="Tahoma"/>
            <family val="2"/>
          </rPr>
          <t xml:space="preserve">Help:
</t>
        </r>
        <r>
          <rPr>
            <b/>
            <sz val="10"/>
            <color rgb="FF000000"/>
            <rFont val="Tahoma"/>
            <family val="2"/>
          </rPr>
          <t xml:space="preserve">1 = sensor. 0 = switch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G11" authorId="0" shapeId="0" xr:uid="{FABA0243-1DAA-274B-80D8-228D3FA7CF33}">
      <text>
        <r>
          <rPr>
            <b/>
            <sz val="11"/>
            <color rgb="FF000000"/>
            <rFont val="Arial"/>
            <family val="2"/>
          </rPr>
          <t>help:</t>
        </r>
        <r>
          <rPr>
            <sz val="6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>1 = invert, 0 = normal</t>
        </r>
        <r>
          <rPr>
            <sz val="6"/>
            <color rgb="FF000000"/>
            <rFont val="Arial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<sst xmlns="http://schemas.openxmlformats.org/spreadsheetml/2006/main" count="331" uniqueCount="135">
  <si>
    <t>LNCV Values for LN2Block</t>
  </si>
  <si>
    <t>LNCV</t>
  </si>
  <si>
    <t>VALUE</t>
  </si>
  <si>
    <t>LNCV_ADR_MODULE_ADRESS</t>
  </si>
  <si>
    <t>CONFIG</t>
  </si>
  <si>
    <t>LNCV_ADR_ARTIKEL_NUMMER</t>
  </si>
  <si>
    <t>BIT</t>
  </si>
  <si>
    <t>KEY_INTERFACE</t>
  </si>
  <si>
    <t>KEY_BOX_DIRECT</t>
  </si>
  <si>
    <t>CONTACT_INTERN</t>
  </si>
  <si>
    <t xml:space="preserve">ANRUECKMELDER_FROM_LN2BLOCK </t>
  </si>
  <si>
    <t>PRUEFSCHLEIFE_OK</t>
  </si>
  <si>
    <t>LNCV_ADR_CONFIGURATION</t>
  </si>
  <si>
    <t>LNCV_ADR_EINFAHR_SIGNAL</t>
  </si>
  <si>
    <t>IN</t>
  </si>
  <si>
    <t>LNCV_ADR_AUSFAHR_SIGNAL</t>
  </si>
  <si>
    <t>LNCV_ADR_EINFAHR_KONTAKT</t>
  </si>
  <si>
    <t>LNCV_ADR_AUSFAHR_KONTAKT</t>
  </si>
  <si>
    <t>LNCV_ADR_BEDIENUNG_RUECKBLOCK</t>
  </si>
  <si>
    <t>LNCV_ADR_BEDIENUNG_HILFSVORBLOCK</t>
  </si>
  <si>
    <t>LNCV_ADR_BEDIENUNG_ERLAUBNISABGABE</t>
  </si>
  <si>
    <t>LNCV_ADR_BEDIENUNG_ANSCHALTER_EIN</t>
  </si>
  <si>
    <t>LNCV_ADR_BEDIENUNG_ANSCHALTER_AUS</t>
  </si>
  <si>
    <t>LNCV_ADR_KEY_RELEASED</t>
  </si>
  <si>
    <t>LNCV_ADR_FAHRT_MOEGLICH</t>
  </si>
  <si>
    <t>OUT</t>
  </si>
  <si>
    <t>LNCV_ADR_NICHT_ZWANGSHALT</t>
  </si>
  <si>
    <t>LNCV_ADR_ERLAUBNISWECHSELSPERRE</t>
  </si>
  <si>
    <t>LNCV_ADR_PRUEFSCHLEIFE</t>
  </si>
  <si>
    <t>LNCV_ADR_SCHLUESSELENTNAHME_MOEGLICH</t>
  </si>
  <si>
    <t>LNCV_ADR_AUSFAHRSPERRMELDER_TF71</t>
  </si>
  <si>
    <t>LNCV_ADR_BLOCKMELDER_TF71</t>
  </si>
  <si>
    <t>LNCV_ADR_WIEDERHOLSPERRMELDER_RELAISBLOCK</t>
  </si>
  <si>
    <t>LNCV_ADR_VORBLOCKMELDER_RELAISBLOCK</t>
  </si>
  <si>
    <t>LNCV_ADR_RUECKBLOCKMELDER_RELAISBLOCK</t>
  </si>
  <si>
    <t>LNCV_ADR_MELDER_ANSCHALTER</t>
  </si>
  <si>
    <t>LNCV_ADR_MELDER_ERSTE_ACHSE</t>
  </si>
  <si>
    <t>LNCV_ADR_MELDER_GERAEUMT</t>
  </si>
  <si>
    <t>LNCV_ADR_MELDER_GERAEUMT_BLINKEN</t>
  </si>
  <si>
    <t>LNCV_ADR_UEBERTRAGUNGSSTOERUNG</t>
  </si>
  <si>
    <t>LNCV_ADR_MELDER_ERLAUBNIS_ERHALTEN</t>
  </si>
  <si>
    <t>LNCV_ADR_MELDER_ERLAUBNIS_ABGEGEBEN</t>
  </si>
  <si>
    <t>LNCV_ADR_HUPE</t>
  </si>
  <si>
    <t>NAME of ln2Block:</t>
  </si>
  <si>
    <t>LN2Block Status messages</t>
  </si>
  <si>
    <t>INPUT</t>
  </si>
  <si>
    <t>EINFAHR_SIGNAL</t>
  </si>
  <si>
    <t>AUSFAHR_SIGNAL</t>
  </si>
  <si>
    <t>EINFAHR_KONTAKT</t>
  </si>
  <si>
    <t>AUSFAHR_KONTAKT</t>
  </si>
  <si>
    <t>BEDIENUNG_RUECKBLOCK</t>
  </si>
  <si>
    <t>BEDIENUNG_HILFSVORBLOCK</t>
  </si>
  <si>
    <t>BEDIENUNG_ERLAUBNISABGABE</t>
  </si>
  <si>
    <t>BEDIENUNG_ANSCHALTER_EIN</t>
  </si>
  <si>
    <t>BEDIENUNG_ANSCHALTER_AUS</t>
  </si>
  <si>
    <t>KEY_RELEASED</t>
  </si>
  <si>
    <t>x011F</t>
  </si>
  <si>
    <t>OUTPUT</t>
  </si>
  <si>
    <t>FAHRT_MOEGLICH</t>
  </si>
  <si>
    <t>NICHT_ZWANGSHALT</t>
  </si>
  <si>
    <t>ERLAUBNISWECHSELSPERRE</t>
  </si>
  <si>
    <t>PRUEFSCHLEIFE</t>
  </si>
  <si>
    <t>SCHLUESSELENTNAHME_MOEGLICH</t>
  </si>
  <si>
    <t>AUSFAHRSPERRMELDER_TF71</t>
  </si>
  <si>
    <t>BLOCKMELDER_TF71</t>
  </si>
  <si>
    <t>WIEDERHOLSPERRMELDER_RELAISBLOCK</t>
  </si>
  <si>
    <t>VORBLOCKMELDER_RELAISBLOCK</t>
  </si>
  <si>
    <t>RUECKBLOCKMELDER_RELAISBLOCK</t>
  </si>
  <si>
    <t>MELDER_ANSCHALTER</t>
  </si>
  <si>
    <t>MELDER_ERSTE_ACHSE</t>
  </si>
  <si>
    <t>MELDER_GERAEUMT</t>
  </si>
  <si>
    <t>MELDER_GERAEUMT_BLINKEN</t>
  </si>
  <si>
    <t>UEBERTRAGUNGSSTOERUNG</t>
  </si>
  <si>
    <t>MELDER_ERLAUBNIS_ERHALTEN</t>
  </si>
  <si>
    <t>MELDER_ERLAUBNIS_ABGEGEBEN</t>
  </si>
  <si>
    <t>HUPE</t>
  </si>
  <si>
    <t>x00008013</t>
  </si>
  <si>
    <t>IN/OUT</t>
  </si>
  <si>
    <t>=HEX</t>
  </si>
  <si>
    <t>=DEC</t>
  </si>
  <si>
    <t>address  for IN messages</t>
  </si>
  <si>
    <t>address  for OUT messages</t>
  </si>
  <si>
    <t>Wat do the messages mean?</t>
  </si>
  <si>
    <t>#</t>
  </si>
  <si>
    <t>x</t>
  </si>
  <si>
    <t>TF71</t>
  </si>
  <si>
    <t>RB</t>
  </si>
  <si>
    <t>RB-OST</t>
  </si>
  <si>
    <t>FB</t>
  </si>
  <si>
    <t>X</t>
  </si>
  <si>
    <t xml:space="preserve">LNCV_ADR_SEND_DELAY	</t>
  </si>
  <si>
    <t>min = 5</t>
  </si>
  <si>
    <t>DISPLAY_FLIP</t>
  </si>
  <si>
    <t>FREE</t>
  </si>
  <si>
    <t>RB-2Gl</t>
  </si>
  <si>
    <t>RBO-2Gl</t>
  </si>
  <si>
    <t>FB-2Gl</t>
  </si>
  <si>
    <t>o</t>
  </si>
  <si>
    <t>LNCV_ADR_TIMER_ENTRY_TIME</t>
  </si>
  <si>
    <t>LNCV_ADR_TIMER_EXIT_TIME</t>
  </si>
  <si>
    <t>LNCV_ADR TIMER_CONTACT_TIME</t>
  </si>
  <si>
    <t>min = 500</t>
  </si>
  <si>
    <t>FELDERBLOCK</t>
  </si>
  <si>
    <t>TIMER_ENTRY_RETRIGGER</t>
  </si>
  <si>
    <t>TIMER_EXIT_ACTIVE</t>
  </si>
  <si>
    <t>TIMER_EXIT_RETRIGGER</t>
  </si>
  <si>
    <t>2.07</t>
  </si>
  <si>
    <t>Version Software</t>
  </si>
  <si>
    <t>ADDRESS</t>
  </si>
  <si>
    <t>SIGNALTYPE</t>
  </si>
  <si>
    <t>SWITCH LOW</t>
  </si>
  <si>
    <t>SWITCH HIGH</t>
  </si>
  <si>
    <t>SENSOR LOW</t>
  </si>
  <si>
    <t>SENSOR HIGH</t>
  </si>
  <si>
    <t xml:space="preserve"> </t>
  </si>
  <si>
    <t>LNCV_ADR_VERSION_NUMBER</t>
  </si>
  <si>
    <t>RICHTUNGSBETRIEB</t>
  </si>
  <si>
    <t>CONTACT_REMAINS_ACTIVE</t>
  </si>
  <si>
    <t>SPLIT_PERMIT_INDICATOR_MSG</t>
  </si>
  <si>
    <t>TRAIN_NUMBERS</t>
  </si>
  <si>
    <t>LNCV_ADR_SEND_STATE_OF_DEVICES</t>
  </si>
  <si>
    <t>LNCV_ADR_RESET</t>
  </si>
  <si>
    <t>LNCV_ADR_BLOCK_ON_OFF</t>
  </si>
  <si>
    <t>LNCV_ADR_FREE_1</t>
  </si>
  <si>
    <t>LNCV_ADR_FREE_2</t>
  </si>
  <si>
    <t>LNCV_ADR_TRAIN_NO_ENABLE</t>
  </si>
  <si>
    <t>LNCV_ADR_TRAIN_NO_OFFER</t>
  </si>
  <si>
    <t>LNCV_ADR_TRAIN_NO_ANNUNCIATOR</t>
  </si>
  <si>
    <t>LNCV_ADR_TRAIN_NO_TRACK</t>
  </si>
  <si>
    <t>STATE</t>
  </si>
  <si>
    <t>LNCV_ADR_STATE_STORAGE</t>
  </si>
  <si>
    <t>BIT 1:</t>
  </si>
  <si>
    <t>BLOCK_ON</t>
  </si>
  <si>
    <t>BIT 2:</t>
  </si>
  <si>
    <t>TRAIN_NUMBERS_ON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</si>
</sst>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Helvetica"/>
      <family val="2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1"/>
      <color rgb="FF000000"/>
      <name val="Arial"/>
      <family val="2"/>
    </font>
    <font>
      <sz val="6"/>
      <color rgb="FF000000"/>
      <name val="Arial"/>
      <family val="2"/>
    </font>
    <font>
      <sz val="11"/>
      <color rgb="FF00000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3" fillId="0" borderId="0" xfId="0" applyFont="1" applyAlignment="1">
      <alignment horizontal="left" textRotation="90"/>
    </xf>
    <xf numFmtId="0" fontId="3" fillId="0" borderId="0" xfId="0" applyFont="1" applyAlignment="1">
      <alignment horizontal="center" vertical="center" textRotation="90"/>
    </xf>
    <xf numFmtId="0" fontId="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9" fillId="0" borderId="1" xfId="0" quotePrefix="1" applyFont="1" applyBorder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10" fillId="0" borderId="0" xfId="0" applyFont="1"/>
    <xf numFmtId="0" fontId="10" fillId="0" borderId="0" xfId="0" quotePrefix="1" applyFont="1"/>
    <xf numFmtId="0" fontId="2" fillId="0" borderId="0" xfId="0" applyFont="1" applyAlignment="1">
      <alignment textRotation="90"/>
    </xf>
    <xf numFmtId="0" fontId="0" fillId="0" borderId="1" xfId="0" applyBorder="1" applyAlignment="1">
      <alignment horizontal="center"/>
    </xf>
    <xf numFmtId="0" fontId="2" fillId="0" borderId="0" xfId="0" applyFont="1" applyAlignment="1">
      <alignment horizontal="center"/>
    </xf>
    <xf numFmtId="0" fontId="11" fillId="0" borderId="0" xfId="0" applyFont="1" applyAlignment="1"/>
  </cellXfs>
  <cellStyles count="1"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35653-8329-9445-8D08-9C9C4D7746D1}">
  <sheetPr codeName="Blad1">
    <pageSetUpPr fitToPage="1"/>
  </sheetPr>
  <dimension ref="A1:AI59"/>
  <sheetViews>
    <sheetView tabSelected="1" topLeftCell="A37" zoomScale="140" zoomScaleNormal="140" workbookViewId="0">
      <selection activeCell="E58" sqref="E58"/>
    </sheetView>
  </sheetViews>
  <sheetFormatPr baseColWidth="10" defaultRowHeight="13" x14ac:dyDescent="0.15"/>
  <cols>
    <col min="2" max="2" width="54.83203125" bestFit="1" customWidth="1"/>
    <col min="3" max="3" width="10.83203125" style="6"/>
    <col min="5" max="5" width="10.33203125" customWidth="1"/>
    <col min="6" max="6" width="12.1640625" customWidth="1"/>
    <col min="7" max="16" width="2.1640625" bestFit="1" customWidth="1"/>
    <col min="17" max="23" width="3.1640625" bestFit="1" customWidth="1"/>
  </cols>
  <sheetData>
    <row r="1" spans="1:35" x14ac:dyDescent="0.15">
      <c r="B1" t="s">
        <v>43</v>
      </c>
      <c r="C1" s="14"/>
      <c r="E1" t="s">
        <v>107</v>
      </c>
      <c r="F1" t="s">
        <v>106</v>
      </c>
      <c r="AH1" s="16" t="s">
        <v>110</v>
      </c>
      <c r="AI1">
        <v>0</v>
      </c>
    </row>
    <row r="2" spans="1:35" x14ac:dyDescent="0.15">
      <c r="B2" s="1" t="s">
        <v>0</v>
      </c>
      <c r="C2" s="15" t="s">
        <v>1</v>
      </c>
      <c r="D2" s="1" t="s">
        <v>2</v>
      </c>
      <c r="E2" s="1"/>
      <c r="F2" s="1"/>
      <c r="AH2" s="16" t="s">
        <v>111</v>
      </c>
      <c r="AI2">
        <v>1</v>
      </c>
    </row>
    <row r="3" spans="1:35" x14ac:dyDescent="0.15">
      <c r="A3" s="2" t="s">
        <v>4</v>
      </c>
      <c r="B3" t="s">
        <v>3</v>
      </c>
      <c r="C3" s="6">
        <v>0</v>
      </c>
      <c r="D3" s="6">
        <v>0</v>
      </c>
      <c r="AH3" s="16" t="s">
        <v>112</v>
      </c>
      <c r="AI3">
        <v>2</v>
      </c>
    </row>
    <row r="4" spans="1:35" x14ac:dyDescent="0.15">
      <c r="A4" s="2" t="s">
        <v>4</v>
      </c>
      <c r="B4" t="s">
        <v>5</v>
      </c>
      <c r="C4" s="6">
        <v>1</v>
      </c>
      <c r="D4" s="6">
        <v>1510</v>
      </c>
      <c r="AH4" s="16" t="s">
        <v>113</v>
      </c>
      <c r="AI4">
        <v>3</v>
      </c>
    </row>
    <row r="5" spans="1:35" x14ac:dyDescent="0.15">
      <c r="A5" s="2"/>
      <c r="B5" t="s">
        <v>115</v>
      </c>
      <c r="C5" s="6">
        <v>2</v>
      </c>
      <c r="D5" s="6"/>
      <c r="AH5" s="16"/>
    </row>
    <row r="6" spans="1:35" ht="198" x14ac:dyDescent="0.15">
      <c r="A6" s="2"/>
      <c r="C6" s="15" t="s">
        <v>1</v>
      </c>
      <c r="D6" s="1" t="s">
        <v>2</v>
      </c>
      <c r="E6" s="1"/>
      <c r="F6" s="1" t="s">
        <v>6</v>
      </c>
      <c r="G6" s="3" t="s">
        <v>7</v>
      </c>
      <c r="H6" s="3" t="s">
        <v>8</v>
      </c>
      <c r="I6" s="3" t="s">
        <v>116</v>
      </c>
      <c r="J6" s="3" t="s">
        <v>117</v>
      </c>
      <c r="K6" s="3" t="s">
        <v>102</v>
      </c>
      <c r="L6" s="3" t="s">
        <v>11</v>
      </c>
      <c r="M6" s="3" t="s">
        <v>10</v>
      </c>
      <c r="N6" s="3" t="s">
        <v>9</v>
      </c>
      <c r="O6" s="3" t="s">
        <v>92</v>
      </c>
      <c r="P6" s="3" t="s">
        <v>103</v>
      </c>
      <c r="Q6" s="3" t="s">
        <v>104</v>
      </c>
      <c r="R6" s="3" t="s">
        <v>105</v>
      </c>
      <c r="S6" s="3" t="s">
        <v>118</v>
      </c>
      <c r="T6" s="3" t="s">
        <v>119</v>
      </c>
      <c r="U6" s="3" t="s">
        <v>93</v>
      </c>
      <c r="V6" s="3" t="s">
        <v>93</v>
      </c>
      <c r="W6" s="4"/>
    </row>
    <row r="7" spans="1:35" x14ac:dyDescent="0.15">
      <c r="A7" s="2" t="s">
        <v>4</v>
      </c>
      <c r="B7" t="s">
        <v>12</v>
      </c>
      <c r="C7" s="6">
        <v>3</v>
      </c>
      <c r="D7" s="6">
        <f>G7+2^1*H7+2^2*I7+2^3*J7+2^4*K7+2^5*L7+2^6*M7+2^7*N7+2^8*O7+2^9*P7+2^10*Q7+2^11*R7+2^12*S7+2^13*T7+2^14*U7+2^15*V7</f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 t="s">
        <v>84</v>
      </c>
    </row>
    <row r="8" spans="1:35" x14ac:dyDescent="0.15">
      <c r="A8" s="2" t="s">
        <v>4</v>
      </c>
      <c r="B8" t="s">
        <v>120</v>
      </c>
      <c r="C8" s="6">
        <v>4</v>
      </c>
      <c r="D8" s="6">
        <f t="shared" ref="D8:D12" si="0">G8+2^1*H8+2^2*I8+2^3*J8+2^4*K8+2^5*L8+2^6*M8+2^7*N8+2^8*O8+2^9*P8+2^10*Q8+2^11*R8+2^12*S8+2^13*T8+2^14*U8+2^15*V8</f>
        <v>0</v>
      </c>
      <c r="F8" s="6"/>
    </row>
    <row r="9" spans="1:35" x14ac:dyDescent="0.15">
      <c r="A9" s="2" t="s">
        <v>4</v>
      </c>
      <c r="B9" t="s">
        <v>121</v>
      </c>
      <c r="C9" s="6">
        <v>5</v>
      </c>
      <c r="D9" s="6">
        <f t="shared" si="0"/>
        <v>0</v>
      </c>
      <c r="F9" s="6"/>
    </row>
    <row r="10" spans="1:35" x14ac:dyDescent="0.15">
      <c r="A10" s="2" t="s">
        <v>4</v>
      </c>
      <c r="B10" t="s">
        <v>122</v>
      </c>
      <c r="C10" s="6">
        <v>6</v>
      </c>
      <c r="D10" s="6">
        <f t="shared" si="0"/>
        <v>0</v>
      </c>
      <c r="F10" s="6"/>
    </row>
    <row r="11" spans="1:35" x14ac:dyDescent="0.15">
      <c r="A11" s="2" t="s">
        <v>4</v>
      </c>
      <c r="B11" t="s">
        <v>123</v>
      </c>
      <c r="C11" s="6">
        <v>7</v>
      </c>
      <c r="D11" s="6">
        <f t="shared" si="0"/>
        <v>0</v>
      </c>
      <c r="F11" s="6"/>
    </row>
    <row r="12" spans="1:35" x14ac:dyDescent="0.15">
      <c r="A12" s="2" t="s">
        <v>4</v>
      </c>
      <c r="B12" t="s">
        <v>124</v>
      </c>
      <c r="C12" s="6">
        <v>8</v>
      </c>
      <c r="D12" s="6">
        <f t="shared" si="0"/>
        <v>0</v>
      </c>
      <c r="F12" s="6"/>
    </row>
    <row r="13" spans="1:35" x14ac:dyDescent="0.15">
      <c r="A13" s="2" t="s">
        <v>4</v>
      </c>
      <c r="B13" t="s">
        <v>90</v>
      </c>
      <c r="C13" s="6">
        <v>9</v>
      </c>
      <c r="D13" s="6">
        <v>10</v>
      </c>
      <c r="E13" t="s">
        <v>91</v>
      </c>
      <c r="F13" s="6"/>
    </row>
    <row r="14" spans="1:35" x14ac:dyDescent="0.15">
      <c r="A14" s="2" t="s">
        <v>4</v>
      </c>
      <c r="B14" t="s">
        <v>98</v>
      </c>
      <c r="C14" s="6">
        <v>10</v>
      </c>
      <c r="D14" s="6">
        <v>1000</v>
      </c>
      <c r="E14" t="s">
        <v>101</v>
      </c>
    </row>
    <row r="15" spans="1:35" x14ac:dyDescent="0.15">
      <c r="A15" s="2" t="s">
        <v>4</v>
      </c>
      <c r="B15" t="s">
        <v>99</v>
      </c>
      <c r="C15" s="6">
        <v>11</v>
      </c>
      <c r="D15" s="6">
        <v>1000</v>
      </c>
      <c r="E15" t="s">
        <v>101</v>
      </c>
    </row>
    <row r="16" spans="1:35" x14ac:dyDescent="0.15">
      <c r="A16" s="2" t="s">
        <v>4</v>
      </c>
      <c r="B16" t="s">
        <v>100</v>
      </c>
      <c r="C16" s="6">
        <v>12</v>
      </c>
      <c r="D16" s="6">
        <v>1000</v>
      </c>
      <c r="E16" t="s">
        <v>101</v>
      </c>
    </row>
    <row r="17" spans="1:14" x14ac:dyDescent="0.15">
      <c r="A17" t="s">
        <v>93</v>
      </c>
    </row>
    <row r="18" spans="1:14" x14ac:dyDescent="0.15">
      <c r="A18" t="s">
        <v>93</v>
      </c>
      <c r="C18" s="6">
        <v>14</v>
      </c>
      <c r="D18" s="6">
        <v>0</v>
      </c>
    </row>
    <row r="19" spans="1:14" x14ac:dyDescent="0.15">
      <c r="A19" t="s">
        <v>93</v>
      </c>
      <c r="C19" s="6">
        <v>15</v>
      </c>
      <c r="D19" s="6">
        <v>0</v>
      </c>
    </row>
    <row r="20" spans="1:14" x14ac:dyDescent="0.15">
      <c r="A20" s="2" t="s">
        <v>4</v>
      </c>
      <c r="B20" t="s">
        <v>125</v>
      </c>
      <c r="C20" s="6">
        <v>16</v>
      </c>
      <c r="D20" s="6">
        <v>0</v>
      </c>
    </row>
    <row r="21" spans="1:14" x14ac:dyDescent="0.15">
      <c r="A21" s="2" t="s">
        <v>4</v>
      </c>
      <c r="B21" t="s">
        <v>126</v>
      </c>
      <c r="C21" s="6">
        <v>17</v>
      </c>
      <c r="D21" s="6">
        <v>0</v>
      </c>
    </row>
    <row r="22" spans="1:14" x14ac:dyDescent="0.15">
      <c r="A22" s="2" t="s">
        <v>4</v>
      </c>
      <c r="B22" t="s">
        <v>127</v>
      </c>
      <c r="C22" s="6">
        <v>18</v>
      </c>
      <c r="D22" s="6">
        <v>0</v>
      </c>
    </row>
    <row r="23" spans="1:14" x14ac:dyDescent="0.15">
      <c r="A23" s="2" t="s">
        <v>4</v>
      </c>
      <c r="B23" t="s">
        <v>128</v>
      </c>
      <c r="C23" s="6">
        <v>19</v>
      </c>
      <c r="D23" s="6">
        <v>0</v>
      </c>
    </row>
    <row r="24" spans="1:14" x14ac:dyDescent="0.15">
      <c r="D24" s="6"/>
      <c r="G24" s="2"/>
    </row>
    <row r="25" spans="1:14" ht="49" x14ac:dyDescent="0.15">
      <c r="A25" s="1" t="s">
        <v>77</v>
      </c>
      <c r="B25" s="1" t="s">
        <v>80</v>
      </c>
      <c r="C25" s="6" t="s">
        <v>84</v>
      </c>
      <c r="D25" s="1" t="s">
        <v>2</v>
      </c>
      <c r="E25" s="1" t="s">
        <v>108</v>
      </c>
      <c r="F25" s="15" t="s">
        <v>109</v>
      </c>
      <c r="H25" s="13" t="s">
        <v>85</v>
      </c>
      <c r="I25" s="13" t="s">
        <v>86</v>
      </c>
      <c r="J25" s="13" t="s">
        <v>94</v>
      </c>
      <c r="K25" s="13" t="s">
        <v>87</v>
      </c>
      <c r="L25" s="13" t="s">
        <v>95</v>
      </c>
      <c r="M25" s="13" t="s">
        <v>88</v>
      </c>
      <c r="N25" s="13" t="s">
        <v>96</v>
      </c>
    </row>
    <row r="26" spans="1:14" x14ac:dyDescent="0.15">
      <c r="A26" s="2" t="s">
        <v>14</v>
      </c>
      <c r="B26" s="2" t="s">
        <v>13</v>
      </c>
      <c r="C26" s="6">
        <v>20</v>
      </c>
      <c r="D26" s="6">
        <f>(E26*10)+INDEX(AI$1:AI$4,MATCH(F26,AH$1:AH$4,0))</f>
        <v>0</v>
      </c>
      <c r="E26" s="6">
        <v>0</v>
      </c>
      <c r="F26" s="6" t="s">
        <v>110</v>
      </c>
      <c r="H26" t="s">
        <v>84</v>
      </c>
      <c r="I26" t="s">
        <v>84</v>
      </c>
      <c r="J26" t="s">
        <v>84</v>
      </c>
      <c r="K26" t="s">
        <v>84</v>
      </c>
      <c r="M26" t="s">
        <v>84</v>
      </c>
      <c r="N26" t="s">
        <v>84</v>
      </c>
    </row>
    <row r="27" spans="1:14" x14ac:dyDescent="0.15">
      <c r="A27" s="2" t="s">
        <v>14</v>
      </c>
      <c r="B27" s="2" t="s">
        <v>15</v>
      </c>
      <c r="C27" s="6">
        <v>21</v>
      </c>
      <c r="D27" s="6">
        <f t="shared" ref="D27:D35" si="1">(E27*10)+INDEX(AI$1:AI$4,MATCH(F27,AH$1:AH$4,0))</f>
        <v>1</v>
      </c>
      <c r="E27" s="6">
        <v>0</v>
      </c>
      <c r="F27" s="6" t="s">
        <v>111</v>
      </c>
      <c r="H27" t="s">
        <v>84</v>
      </c>
      <c r="I27" t="s">
        <v>84</v>
      </c>
      <c r="J27" t="s">
        <v>84</v>
      </c>
      <c r="K27" t="s">
        <v>84</v>
      </c>
      <c r="M27" t="s">
        <v>84</v>
      </c>
      <c r="N27" t="s">
        <v>84</v>
      </c>
    </row>
    <row r="28" spans="1:14" x14ac:dyDescent="0.15">
      <c r="A28" s="2" t="s">
        <v>14</v>
      </c>
      <c r="B28" t="s">
        <v>16</v>
      </c>
      <c r="C28" s="6">
        <v>22</v>
      </c>
      <c r="D28" s="6">
        <f t="shared" si="1"/>
        <v>0</v>
      </c>
      <c r="E28" s="6">
        <v>0</v>
      </c>
      <c r="F28" s="6" t="s">
        <v>110</v>
      </c>
      <c r="H28" t="s">
        <v>84</v>
      </c>
      <c r="I28" t="s">
        <v>84</v>
      </c>
      <c r="J28" t="s">
        <v>84</v>
      </c>
      <c r="K28" t="s">
        <v>84</v>
      </c>
      <c r="M28" t="s">
        <v>84</v>
      </c>
      <c r="N28" t="s">
        <v>84</v>
      </c>
    </row>
    <row r="29" spans="1:14" x14ac:dyDescent="0.15">
      <c r="A29" s="2" t="s">
        <v>14</v>
      </c>
      <c r="B29" t="s">
        <v>17</v>
      </c>
      <c r="C29" s="6">
        <v>23</v>
      </c>
      <c r="D29" s="6">
        <f t="shared" si="1"/>
        <v>0</v>
      </c>
      <c r="E29" s="6">
        <v>0</v>
      </c>
      <c r="F29" s="6" t="s">
        <v>110</v>
      </c>
      <c r="H29" t="s">
        <v>114</v>
      </c>
      <c r="I29" t="s">
        <v>114</v>
      </c>
      <c r="J29" t="s">
        <v>84</v>
      </c>
      <c r="K29" t="s">
        <v>84</v>
      </c>
      <c r="N29" t="s">
        <v>84</v>
      </c>
    </row>
    <row r="30" spans="1:14" x14ac:dyDescent="0.15">
      <c r="A30" s="2" t="s">
        <v>14</v>
      </c>
      <c r="B30" t="s">
        <v>18</v>
      </c>
      <c r="C30" s="6">
        <v>24</v>
      </c>
      <c r="D30" s="6">
        <f t="shared" si="1"/>
        <v>0</v>
      </c>
      <c r="E30" s="6">
        <v>0</v>
      </c>
      <c r="F30" s="6" t="s">
        <v>110</v>
      </c>
      <c r="H30" t="s">
        <v>84</v>
      </c>
      <c r="I30" t="s">
        <v>84</v>
      </c>
      <c r="J30" t="s">
        <v>84</v>
      </c>
      <c r="K30" t="s">
        <v>84</v>
      </c>
      <c r="M30" t="s">
        <v>84</v>
      </c>
      <c r="N30" t="s">
        <v>84</v>
      </c>
    </row>
    <row r="31" spans="1:14" x14ac:dyDescent="0.15">
      <c r="A31" s="2" t="s">
        <v>14</v>
      </c>
      <c r="B31" t="s">
        <v>19</v>
      </c>
      <c r="C31" s="6">
        <v>25</v>
      </c>
      <c r="D31" s="6">
        <f t="shared" si="1"/>
        <v>0</v>
      </c>
      <c r="E31" s="6">
        <v>0</v>
      </c>
      <c r="F31" s="6" t="s">
        <v>110</v>
      </c>
      <c r="I31" t="s">
        <v>84</v>
      </c>
      <c r="J31" t="s">
        <v>84</v>
      </c>
      <c r="K31" t="s">
        <v>84</v>
      </c>
      <c r="M31" t="s">
        <v>84</v>
      </c>
      <c r="N31" t="s">
        <v>84</v>
      </c>
    </row>
    <row r="32" spans="1:14" x14ac:dyDescent="0.15">
      <c r="A32" s="2" t="s">
        <v>14</v>
      </c>
      <c r="B32" t="s">
        <v>20</v>
      </c>
      <c r="C32" s="6">
        <v>26</v>
      </c>
      <c r="D32" s="6">
        <f t="shared" si="1"/>
        <v>0</v>
      </c>
      <c r="E32" s="6">
        <v>0</v>
      </c>
      <c r="F32" s="6" t="s">
        <v>110</v>
      </c>
      <c r="H32" t="s">
        <v>84</v>
      </c>
      <c r="I32" t="s">
        <v>84</v>
      </c>
      <c r="J32" t="s">
        <v>84</v>
      </c>
      <c r="K32" t="s">
        <v>84</v>
      </c>
      <c r="M32" t="s">
        <v>84</v>
      </c>
      <c r="N32" t="s">
        <v>84</v>
      </c>
    </row>
    <row r="33" spans="1:14" x14ac:dyDescent="0.15">
      <c r="A33" s="2" t="s">
        <v>14</v>
      </c>
      <c r="B33" t="s">
        <v>21</v>
      </c>
      <c r="C33" s="6">
        <v>27</v>
      </c>
      <c r="D33" s="6">
        <f t="shared" si="1"/>
        <v>0</v>
      </c>
      <c r="E33" s="6">
        <v>0</v>
      </c>
      <c r="F33" s="6" t="s">
        <v>110</v>
      </c>
      <c r="I33" t="s">
        <v>84</v>
      </c>
      <c r="J33" t="s">
        <v>84</v>
      </c>
      <c r="K33" t="s">
        <v>84</v>
      </c>
    </row>
    <row r="34" spans="1:14" x14ac:dyDescent="0.15">
      <c r="A34" s="2" t="s">
        <v>14</v>
      </c>
      <c r="B34" t="s">
        <v>22</v>
      </c>
      <c r="C34" s="6">
        <v>28</v>
      </c>
      <c r="D34" s="6">
        <f t="shared" si="1"/>
        <v>0</v>
      </c>
      <c r="E34" s="6">
        <v>0</v>
      </c>
      <c r="F34" s="6" t="s">
        <v>110</v>
      </c>
      <c r="I34" t="s">
        <v>84</v>
      </c>
      <c r="J34" t="s">
        <v>84</v>
      </c>
      <c r="K34" t="s">
        <v>84</v>
      </c>
    </row>
    <row r="35" spans="1:14" x14ac:dyDescent="0.15">
      <c r="A35" s="2" t="s">
        <v>14</v>
      </c>
      <c r="B35" t="s">
        <v>23</v>
      </c>
      <c r="C35" s="6">
        <v>29</v>
      </c>
      <c r="D35" s="6">
        <f t="shared" si="1"/>
        <v>0</v>
      </c>
      <c r="E35" s="6">
        <v>0</v>
      </c>
      <c r="F35" s="6" t="s">
        <v>110</v>
      </c>
      <c r="H35" t="s">
        <v>97</v>
      </c>
      <c r="I35" t="s">
        <v>97</v>
      </c>
      <c r="J35" t="s">
        <v>97</v>
      </c>
      <c r="K35" t="s">
        <v>97</v>
      </c>
      <c r="L35" t="s">
        <v>97</v>
      </c>
      <c r="M35" t="s">
        <v>97</v>
      </c>
      <c r="N35" t="s">
        <v>97</v>
      </c>
    </row>
    <row r="36" spans="1:14" x14ac:dyDescent="0.15">
      <c r="D36" s="6"/>
      <c r="G36" s="2"/>
    </row>
    <row r="37" spans="1:14" ht="49" x14ac:dyDescent="0.15">
      <c r="A37" s="1" t="s">
        <v>77</v>
      </c>
      <c r="B37" s="1" t="s">
        <v>81</v>
      </c>
      <c r="C37" s="6" t="s">
        <v>84</v>
      </c>
      <c r="D37" s="1" t="s">
        <v>2</v>
      </c>
      <c r="E37" s="1" t="s">
        <v>108</v>
      </c>
      <c r="F37" s="15" t="s">
        <v>109</v>
      </c>
      <c r="H37" s="13" t="s">
        <v>85</v>
      </c>
      <c r="I37" s="13" t="s">
        <v>86</v>
      </c>
      <c r="J37" s="13" t="s">
        <v>94</v>
      </c>
      <c r="K37" s="13" t="s">
        <v>87</v>
      </c>
      <c r="L37" s="13" t="s">
        <v>95</v>
      </c>
      <c r="M37" s="13" t="s">
        <v>88</v>
      </c>
      <c r="N37" s="13" t="s">
        <v>96</v>
      </c>
    </row>
    <row r="38" spans="1:14" x14ac:dyDescent="0.15">
      <c r="A38" s="2" t="s">
        <v>25</v>
      </c>
      <c r="B38" t="s">
        <v>24</v>
      </c>
      <c r="C38" s="6">
        <v>30</v>
      </c>
      <c r="D38" s="6">
        <f t="shared" ref="D38:D55" si="2">(E38*10)+INDEX(AI$1:AI$4,MATCH(F38,AH$1:AH$4,0))</f>
        <v>0</v>
      </c>
      <c r="E38" s="6">
        <v>0</v>
      </c>
      <c r="F38" s="6" t="s">
        <v>110</v>
      </c>
      <c r="M38" t="s">
        <v>84</v>
      </c>
      <c r="N38" t="s">
        <v>84</v>
      </c>
    </row>
    <row r="39" spans="1:14" x14ac:dyDescent="0.15">
      <c r="A39" s="2" t="s">
        <v>25</v>
      </c>
      <c r="B39" t="s">
        <v>26</v>
      </c>
      <c r="C39" s="6">
        <v>31</v>
      </c>
      <c r="D39" s="6">
        <f t="shared" si="2"/>
        <v>0</v>
      </c>
      <c r="E39" s="6">
        <v>0</v>
      </c>
      <c r="F39" s="6" t="s">
        <v>110</v>
      </c>
    </row>
    <row r="40" spans="1:14" x14ac:dyDescent="0.15">
      <c r="A40" s="2" t="s">
        <v>25</v>
      </c>
      <c r="B40" t="s">
        <v>27</v>
      </c>
      <c r="C40" s="6">
        <v>32</v>
      </c>
      <c r="D40" s="6">
        <f t="shared" si="2"/>
        <v>0</v>
      </c>
      <c r="E40" s="6">
        <v>0</v>
      </c>
      <c r="F40" s="6" t="s">
        <v>110</v>
      </c>
      <c r="M40" t="s">
        <v>84</v>
      </c>
      <c r="N40" t="s">
        <v>84</v>
      </c>
    </row>
    <row r="41" spans="1:14" x14ac:dyDescent="0.15">
      <c r="A41" s="2" t="s">
        <v>25</v>
      </c>
      <c r="B41" t="s">
        <v>28</v>
      </c>
      <c r="C41" s="6">
        <v>33</v>
      </c>
      <c r="D41" s="6">
        <f t="shared" si="2"/>
        <v>0</v>
      </c>
      <c r="E41" s="6">
        <v>0</v>
      </c>
      <c r="F41" s="6" t="s">
        <v>110</v>
      </c>
    </row>
    <row r="42" spans="1:14" x14ac:dyDescent="0.15">
      <c r="A42" s="2" t="s">
        <v>25</v>
      </c>
      <c r="B42" t="s">
        <v>29</v>
      </c>
      <c r="C42" s="6">
        <v>34</v>
      </c>
      <c r="D42" s="6">
        <f t="shared" si="2"/>
        <v>0</v>
      </c>
      <c r="E42" s="6">
        <v>0</v>
      </c>
      <c r="F42" s="6" t="s">
        <v>110</v>
      </c>
      <c r="H42" t="s">
        <v>97</v>
      </c>
      <c r="I42" t="s">
        <v>97</v>
      </c>
      <c r="J42" t="s">
        <v>97</v>
      </c>
      <c r="K42" t="s">
        <v>97</v>
      </c>
      <c r="L42" t="s">
        <v>97</v>
      </c>
      <c r="M42" t="s">
        <v>97</v>
      </c>
      <c r="N42" t="s">
        <v>97</v>
      </c>
    </row>
    <row r="43" spans="1:14" x14ac:dyDescent="0.15">
      <c r="A43" s="2" t="s">
        <v>25</v>
      </c>
      <c r="B43" t="s">
        <v>30</v>
      </c>
      <c r="C43" s="6">
        <v>35</v>
      </c>
      <c r="D43" s="6">
        <f t="shared" si="2"/>
        <v>0</v>
      </c>
      <c r="E43" s="6">
        <v>0</v>
      </c>
      <c r="F43" s="6" t="s">
        <v>110</v>
      </c>
      <c r="H43" t="s">
        <v>89</v>
      </c>
    </row>
    <row r="44" spans="1:14" x14ac:dyDescent="0.15">
      <c r="A44" s="2" t="s">
        <v>25</v>
      </c>
      <c r="B44" s="2" t="s">
        <v>31</v>
      </c>
      <c r="C44" s="6">
        <v>36</v>
      </c>
      <c r="D44" s="6">
        <f t="shared" si="2"/>
        <v>0</v>
      </c>
      <c r="E44" s="6">
        <v>0</v>
      </c>
      <c r="F44" s="6" t="s">
        <v>110</v>
      </c>
      <c r="H44" t="s">
        <v>89</v>
      </c>
    </row>
    <row r="45" spans="1:14" x14ac:dyDescent="0.15">
      <c r="A45" s="2" t="s">
        <v>25</v>
      </c>
      <c r="B45" t="s">
        <v>32</v>
      </c>
      <c r="C45" s="6">
        <v>37</v>
      </c>
      <c r="D45" s="6">
        <f t="shared" si="2"/>
        <v>0</v>
      </c>
      <c r="E45" s="6">
        <v>0</v>
      </c>
      <c r="F45" s="6" t="s">
        <v>110</v>
      </c>
      <c r="I45" t="s">
        <v>89</v>
      </c>
      <c r="K45" t="s">
        <v>89</v>
      </c>
    </row>
    <row r="46" spans="1:14" x14ac:dyDescent="0.15">
      <c r="A46" s="2" t="s">
        <v>25</v>
      </c>
      <c r="B46" t="s">
        <v>33</v>
      </c>
      <c r="C46" s="6">
        <v>38</v>
      </c>
      <c r="D46" s="6">
        <f t="shared" si="2"/>
        <v>0</v>
      </c>
      <c r="E46" s="6">
        <v>0</v>
      </c>
      <c r="F46" s="6" t="s">
        <v>110</v>
      </c>
      <c r="I46" t="s">
        <v>89</v>
      </c>
      <c r="K46" t="s">
        <v>89</v>
      </c>
      <c r="M46" t="s">
        <v>84</v>
      </c>
      <c r="N46" t="s">
        <v>84</v>
      </c>
    </row>
    <row r="47" spans="1:14" x14ac:dyDescent="0.15">
      <c r="A47" s="2" t="s">
        <v>25</v>
      </c>
      <c r="B47" t="s">
        <v>34</v>
      </c>
      <c r="C47" s="6">
        <v>39</v>
      </c>
      <c r="D47" s="6">
        <f t="shared" si="2"/>
        <v>0</v>
      </c>
      <c r="E47" s="6">
        <v>0</v>
      </c>
      <c r="F47" s="6" t="s">
        <v>110</v>
      </c>
      <c r="I47" t="s">
        <v>89</v>
      </c>
      <c r="K47" t="s">
        <v>89</v>
      </c>
      <c r="M47" t="s">
        <v>84</v>
      </c>
      <c r="N47" t="s">
        <v>84</v>
      </c>
    </row>
    <row r="48" spans="1:14" x14ac:dyDescent="0.15">
      <c r="A48" s="2" t="s">
        <v>25</v>
      </c>
      <c r="B48" t="s">
        <v>35</v>
      </c>
      <c r="C48" s="6">
        <v>40</v>
      </c>
      <c r="D48" s="6">
        <f t="shared" si="2"/>
        <v>0</v>
      </c>
      <c r="E48" s="6">
        <v>0</v>
      </c>
      <c r="F48" s="6" t="s">
        <v>110</v>
      </c>
      <c r="I48" t="s">
        <v>89</v>
      </c>
      <c r="K48" t="s">
        <v>89</v>
      </c>
    </row>
    <row r="49" spans="1:14" x14ac:dyDescent="0.15">
      <c r="A49" s="2" t="s">
        <v>25</v>
      </c>
      <c r="B49" t="s">
        <v>36</v>
      </c>
      <c r="C49" s="6">
        <v>41</v>
      </c>
      <c r="D49" s="6">
        <f t="shared" si="2"/>
        <v>0</v>
      </c>
      <c r="E49" s="6">
        <v>0</v>
      </c>
      <c r="F49" s="6" t="s">
        <v>110</v>
      </c>
      <c r="K49" t="s">
        <v>89</v>
      </c>
    </row>
    <row r="50" spans="1:14" x14ac:dyDescent="0.15">
      <c r="A50" s="2" t="s">
        <v>25</v>
      </c>
      <c r="B50" t="s">
        <v>37</v>
      </c>
      <c r="C50" s="6">
        <v>42</v>
      </c>
      <c r="D50" s="6">
        <f t="shared" si="2"/>
        <v>0</v>
      </c>
      <c r="E50" s="6">
        <v>0</v>
      </c>
      <c r="F50" s="6" t="s">
        <v>110</v>
      </c>
      <c r="K50" t="s">
        <v>89</v>
      </c>
    </row>
    <row r="51" spans="1:14" x14ac:dyDescent="0.15">
      <c r="A51" s="2" t="s">
        <v>25</v>
      </c>
      <c r="B51" t="s">
        <v>38</v>
      </c>
      <c r="C51" s="6">
        <v>43</v>
      </c>
      <c r="D51" s="6">
        <f t="shared" si="2"/>
        <v>0</v>
      </c>
      <c r="E51" s="6">
        <v>0</v>
      </c>
      <c r="F51" s="6" t="s">
        <v>110</v>
      </c>
      <c r="I51" t="s">
        <v>89</v>
      </c>
    </row>
    <row r="52" spans="1:14" x14ac:dyDescent="0.15">
      <c r="A52" s="2" t="s">
        <v>25</v>
      </c>
      <c r="B52" t="s">
        <v>39</v>
      </c>
      <c r="C52" s="6">
        <v>44</v>
      </c>
      <c r="D52" s="6">
        <f t="shared" si="2"/>
        <v>0</v>
      </c>
      <c r="E52" s="6">
        <v>0</v>
      </c>
      <c r="F52" s="6" t="s">
        <v>110</v>
      </c>
      <c r="H52" t="s">
        <v>84</v>
      </c>
      <c r="I52" t="s">
        <v>84</v>
      </c>
      <c r="J52" t="s">
        <v>84</v>
      </c>
      <c r="K52" t="s">
        <v>84</v>
      </c>
      <c r="L52" t="s">
        <v>84</v>
      </c>
      <c r="M52" t="s">
        <v>84</v>
      </c>
      <c r="N52" t="s">
        <v>84</v>
      </c>
    </row>
    <row r="53" spans="1:14" x14ac:dyDescent="0.15">
      <c r="A53" s="2" t="s">
        <v>25</v>
      </c>
      <c r="B53" t="s">
        <v>40</v>
      </c>
      <c r="C53" s="6">
        <v>45</v>
      </c>
      <c r="D53" s="6">
        <f t="shared" si="2"/>
        <v>0</v>
      </c>
      <c r="E53" s="6">
        <v>0</v>
      </c>
      <c r="F53" s="6" t="s">
        <v>110</v>
      </c>
      <c r="H53" t="s">
        <v>89</v>
      </c>
      <c r="I53" t="s">
        <v>84</v>
      </c>
      <c r="J53" t="s">
        <v>84</v>
      </c>
      <c r="M53" t="s">
        <v>84</v>
      </c>
      <c r="N53" t="s">
        <v>84</v>
      </c>
    </row>
    <row r="54" spans="1:14" x14ac:dyDescent="0.15">
      <c r="A54" s="2" t="s">
        <v>25</v>
      </c>
      <c r="B54" t="s">
        <v>41</v>
      </c>
      <c r="C54" s="6">
        <v>46</v>
      </c>
      <c r="D54" s="6">
        <f t="shared" si="2"/>
        <v>0</v>
      </c>
      <c r="E54" s="6">
        <v>0</v>
      </c>
      <c r="F54" s="6" t="s">
        <v>110</v>
      </c>
      <c r="H54" t="s">
        <v>89</v>
      </c>
      <c r="I54" t="s">
        <v>84</v>
      </c>
      <c r="J54" t="s">
        <v>84</v>
      </c>
      <c r="M54" t="s">
        <v>84</v>
      </c>
      <c r="N54" t="s">
        <v>84</v>
      </c>
    </row>
    <row r="55" spans="1:14" x14ac:dyDescent="0.15">
      <c r="A55" s="2" t="s">
        <v>25</v>
      </c>
      <c r="B55" t="s">
        <v>42</v>
      </c>
      <c r="C55" s="6">
        <v>47</v>
      </c>
      <c r="D55" s="6">
        <f t="shared" si="2"/>
        <v>0</v>
      </c>
      <c r="E55" s="6">
        <v>0</v>
      </c>
      <c r="F55" s="6" t="s">
        <v>110</v>
      </c>
      <c r="H55" t="s">
        <v>84</v>
      </c>
      <c r="I55" t="s">
        <v>84</v>
      </c>
      <c r="J55" t="s">
        <v>84</v>
      </c>
      <c r="K55" t="s">
        <v>84</v>
      </c>
      <c r="L55" t="s">
        <v>84</v>
      </c>
      <c r="M55" t="s">
        <v>84</v>
      </c>
      <c r="N55" t="s">
        <v>84</v>
      </c>
    </row>
    <row r="58" spans="1:14" x14ac:dyDescent="0.15">
      <c r="A58" t="s">
        <v>129</v>
      </c>
      <c r="B58" t="s">
        <v>130</v>
      </c>
      <c r="C58" s="6">
        <v>50</v>
      </c>
      <c r="D58" t="s">
        <v>131</v>
      </c>
      <c r="E58" t="s">
        <v>132</v>
      </c>
    </row>
    <row r="59" spans="1:14" x14ac:dyDescent="0.15">
      <c r="D59" t="s">
        <v>133</v>
      </c>
      <c r="E59" t="s">
        <v>134</v>
      </c>
    </row>
  </sheetData>
  <dataValidations count="1">
    <dataValidation type="list" allowBlank="1" showInputMessage="1" showErrorMessage="1" sqref="F26:F35 F38:F55" xr:uid="{2C47E82B-4982-5C4D-AD6F-2C33F2C01FD8}">
      <formula1>$AH$1:$AH$4</formula1>
    </dataValidation>
  </dataValidations>
  <pageMargins left="0.7" right="0.7" top="0.75" bottom="0.75" header="0.3" footer="0.3"/>
  <pageSetup paperSize="9" scale="94" fitToHeight="2" orientation="portrait" horizontalDpi="0" verticalDpi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D423-E1FA-584A-BBD0-E20DBD0A2BD3}">
  <sheetPr codeName="Blad2"/>
  <dimension ref="A1:E37"/>
  <sheetViews>
    <sheetView topLeftCell="A2" workbookViewId="0">
      <selection activeCell="C4" sqref="C4"/>
    </sheetView>
  </sheetViews>
  <sheetFormatPr baseColWidth="10" defaultRowHeight="13" x14ac:dyDescent="0.15"/>
  <cols>
    <col min="1" max="1" width="3.1640625" customWidth="1"/>
    <col min="2" max="2" width="45" bestFit="1" customWidth="1"/>
    <col min="3" max="3" width="12.83203125" customWidth="1"/>
    <col min="6" max="6" width="10.1640625" bestFit="1" customWidth="1"/>
  </cols>
  <sheetData>
    <row r="1" spans="1:5" ht="16" x14ac:dyDescent="0.2">
      <c r="B1" s="11" t="s">
        <v>44</v>
      </c>
      <c r="C1" s="5" t="s">
        <v>82</v>
      </c>
      <c r="D1" s="5"/>
    </row>
    <row r="2" spans="1:5" ht="16" x14ac:dyDescent="0.2">
      <c r="B2" s="5"/>
      <c r="C2" s="5"/>
      <c r="D2" s="12" t="s">
        <v>78</v>
      </c>
      <c r="E2" s="12" t="s">
        <v>79</v>
      </c>
    </row>
    <row r="3" spans="1:5" ht="16" x14ac:dyDescent="0.2">
      <c r="B3" s="11" t="s">
        <v>45</v>
      </c>
      <c r="C3" s="8" t="s">
        <v>56</v>
      </c>
      <c r="D3" s="5" t="str">
        <f>IF(FIND("x",C3,1)&gt;0,RIGHT(C3,4),VALUE(C3))</f>
        <v>011F</v>
      </c>
      <c r="E3" s="7">
        <f>HEX2DEC(D3)</f>
        <v>287</v>
      </c>
    </row>
    <row r="4" spans="1:5" ht="16" x14ac:dyDescent="0.2">
      <c r="A4" t="s">
        <v>83</v>
      </c>
      <c r="B4" s="5"/>
      <c r="C4" s="5"/>
      <c r="D4" s="5"/>
    </row>
    <row r="5" spans="1:5" ht="16" x14ac:dyDescent="0.2">
      <c r="A5">
        <v>0</v>
      </c>
      <c r="B5" s="5" t="s">
        <v>46</v>
      </c>
      <c r="C5" s="9">
        <f t="shared" ref="C5:C14" si="0">_xlfn.BITAND(E$3,POWER(2,A5))/POWER(2,A5)</f>
        <v>1</v>
      </c>
      <c r="D5" s="9" t="str">
        <f>IF((C5&gt;0),"HIGH","")</f>
        <v>HIGH</v>
      </c>
    </row>
    <row r="6" spans="1:5" ht="16" x14ac:dyDescent="0.2">
      <c r="A6">
        <v>1</v>
      </c>
      <c r="B6" s="5" t="s">
        <v>47</v>
      </c>
      <c r="C6" s="9">
        <f t="shared" si="0"/>
        <v>1</v>
      </c>
      <c r="D6" s="9" t="str">
        <f t="shared" ref="D6:D14" si="1">IF((C6&gt;0),"HIGH","")</f>
        <v>HIGH</v>
      </c>
    </row>
    <row r="7" spans="1:5" ht="16" x14ac:dyDescent="0.2">
      <c r="A7">
        <v>2</v>
      </c>
      <c r="B7" s="5" t="s">
        <v>48</v>
      </c>
      <c r="C7" s="9">
        <f t="shared" si="0"/>
        <v>1</v>
      </c>
      <c r="D7" s="9" t="str">
        <f t="shared" si="1"/>
        <v>HIGH</v>
      </c>
    </row>
    <row r="8" spans="1:5" ht="16" x14ac:dyDescent="0.2">
      <c r="A8">
        <v>3</v>
      </c>
      <c r="B8" s="5" t="s">
        <v>49</v>
      </c>
      <c r="C8" s="9">
        <f t="shared" si="0"/>
        <v>1</v>
      </c>
      <c r="D8" s="9" t="str">
        <f t="shared" si="1"/>
        <v>HIGH</v>
      </c>
    </row>
    <row r="9" spans="1:5" ht="16" x14ac:dyDescent="0.2">
      <c r="A9">
        <v>4</v>
      </c>
      <c r="B9" s="5" t="s">
        <v>50</v>
      </c>
      <c r="C9" s="9">
        <f t="shared" si="0"/>
        <v>1</v>
      </c>
      <c r="D9" s="9" t="str">
        <f t="shared" si="1"/>
        <v>HIGH</v>
      </c>
    </row>
    <row r="10" spans="1:5" ht="16" x14ac:dyDescent="0.2">
      <c r="A10">
        <v>5</v>
      </c>
      <c r="B10" s="5" t="s">
        <v>51</v>
      </c>
      <c r="C10" s="9">
        <f t="shared" si="0"/>
        <v>0</v>
      </c>
      <c r="D10" s="9" t="str">
        <f t="shared" si="1"/>
        <v/>
      </c>
    </row>
    <row r="11" spans="1:5" ht="16" x14ac:dyDescent="0.2">
      <c r="A11">
        <v>6</v>
      </c>
      <c r="B11" s="5" t="s">
        <v>52</v>
      </c>
      <c r="C11" s="9">
        <f t="shared" si="0"/>
        <v>0</v>
      </c>
      <c r="D11" s="9" t="str">
        <f t="shared" si="1"/>
        <v/>
      </c>
    </row>
    <row r="12" spans="1:5" ht="16" x14ac:dyDescent="0.2">
      <c r="A12">
        <v>7</v>
      </c>
      <c r="B12" s="5" t="s">
        <v>53</v>
      </c>
      <c r="C12" s="9">
        <f t="shared" si="0"/>
        <v>0</v>
      </c>
      <c r="D12" s="9" t="str">
        <f t="shared" si="1"/>
        <v/>
      </c>
    </row>
    <row r="13" spans="1:5" ht="16" x14ac:dyDescent="0.2">
      <c r="A13">
        <v>8</v>
      </c>
      <c r="B13" s="5" t="s">
        <v>54</v>
      </c>
      <c r="C13" s="9">
        <f t="shared" si="0"/>
        <v>1</v>
      </c>
      <c r="D13" s="9" t="str">
        <f t="shared" si="1"/>
        <v>HIGH</v>
      </c>
    </row>
    <row r="14" spans="1:5" ht="16" x14ac:dyDescent="0.2">
      <c r="A14">
        <v>9</v>
      </c>
      <c r="B14" s="5" t="s">
        <v>55</v>
      </c>
      <c r="C14" s="9">
        <f t="shared" si="0"/>
        <v>0</v>
      </c>
      <c r="D14" s="9" t="str">
        <f t="shared" si="1"/>
        <v/>
      </c>
    </row>
    <row r="15" spans="1:5" ht="16" x14ac:dyDescent="0.2">
      <c r="B15" s="5"/>
      <c r="C15" s="5"/>
      <c r="D15" s="5"/>
    </row>
    <row r="16" spans="1:5" ht="16" x14ac:dyDescent="0.2">
      <c r="B16" s="5"/>
      <c r="C16" s="5"/>
      <c r="D16" s="12" t="s">
        <v>78</v>
      </c>
      <c r="E16" s="12" t="s">
        <v>79</v>
      </c>
    </row>
    <row r="17" spans="1:5" ht="16" x14ac:dyDescent="0.2">
      <c r="B17" s="11" t="s">
        <v>57</v>
      </c>
      <c r="C17" s="8" t="s">
        <v>76</v>
      </c>
      <c r="D17" s="5" t="str">
        <f>IF(FIND("x",C17,1)&gt;0,RIGHT(C17,4),VALUE(C17))</f>
        <v>8013</v>
      </c>
      <c r="E17" s="7">
        <f>HEX2DEC(D17)</f>
        <v>32787</v>
      </c>
    </row>
    <row r="18" spans="1:5" ht="16" x14ac:dyDescent="0.2">
      <c r="A18" t="s">
        <v>83</v>
      </c>
      <c r="B18" s="5"/>
      <c r="C18" s="10"/>
      <c r="D18" s="5"/>
    </row>
    <row r="19" spans="1:5" ht="16" x14ac:dyDescent="0.2">
      <c r="A19">
        <v>0</v>
      </c>
      <c r="B19" s="5" t="s">
        <v>58</v>
      </c>
      <c r="C19" s="9">
        <f t="shared" ref="C19:C36" si="2">_xlfn.BITAND(E$17,POWER(2,A19))/POWER(2,A19)</f>
        <v>1</v>
      </c>
      <c r="D19" s="9" t="str">
        <f>IF((C19&gt;0),"HIGH","")</f>
        <v>HIGH</v>
      </c>
    </row>
    <row r="20" spans="1:5" ht="16" x14ac:dyDescent="0.2">
      <c r="A20">
        <v>1</v>
      </c>
      <c r="B20" s="5" t="s">
        <v>59</v>
      </c>
      <c r="C20" s="9">
        <f t="shared" si="2"/>
        <v>1</v>
      </c>
      <c r="D20" s="9" t="str">
        <f t="shared" ref="D20:D36" si="3">IF((C20&gt;0),"HIGH","")</f>
        <v>HIGH</v>
      </c>
    </row>
    <row r="21" spans="1:5" ht="16" x14ac:dyDescent="0.2">
      <c r="A21">
        <v>2</v>
      </c>
      <c r="B21" s="5" t="s">
        <v>60</v>
      </c>
      <c r="C21" s="9">
        <f t="shared" si="2"/>
        <v>0</v>
      </c>
      <c r="D21" s="9" t="str">
        <f t="shared" si="3"/>
        <v/>
      </c>
    </row>
    <row r="22" spans="1:5" ht="16" x14ac:dyDescent="0.2">
      <c r="A22">
        <v>3</v>
      </c>
      <c r="B22" s="5" t="s">
        <v>61</v>
      </c>
      <c r="C22" s="9">
        <f t="shared" si="2"/>
        <v>0</v>
      </c>
      <c r="D22" s="9" t="str">
        <f t="shared" si="3"/>
        <v/>
      </c>
    </row>
    <row r="23" spans="1:5" ht="16" x14ac:dyDescent="0.2">
      <c r="A23">
        <v>4</v>
      </c>
      <c r="B23" s="5" t="s">
        <v>62</v>
      </c>
      <c r="C23" s="9">
        <f t="shared" si="2"/>
        <v>1</v>
      </c>
      <c r="D23" s="9" t="str">
        <f t="shared" si="3"/>
        <v>HIGH</v>
      </c>
    </row>
    <row r="24" spans="1:5" ht="16" x14ac:dyDescent="0.2">
      <c r="A24">
        <v>5</v>
      </c>
      <c r="B24" s="5" t="s">
        <v>63</v>
      </c>
      <c r="C24" s="9">
        <f t="shared" si="2"/>
        <v>0</v>
      </c>
      <c r="D24" s="9" t="str">
        <f t="shared" si="3"/>
        <v/>
      </c>
    </row>
    <row r="25" spans="1:5" ht="16" x14ac:dyDescent="0.2">
      <c r="A25">
        <v>6</v>
      </c>
      <c r="B25" s="5" t="s">
        <v>64</v>
      </c>
      <c r="C25" s="9">
        <f t="shared" si="2"/>
        <v>0</v>
      </c>
      <c r="D25" s="9" t="str">
        <f t="shared" si="3"/>
        <v/>
      </c>
    </row>
    <row r="26" spans="1:5" ht="16" x14ac:dyDescent="0.2">
      <c r="A26">
        <v>7</v>
      </c>
      <c r="B26" s="5" t="s">
        <v>65</v>
      </c>
      <c r="C26" s="9">
        <f t="shared" si="2"/>
        <v>0</v>
      </c>
      <c r="D26" s="9" t="str">
        <f t="shared" si="3"/>
        <v/>
      </c>
    </row>
    <row r="27" spans="1:5" ht="16" x14ac:dyDescent="0.2">
      <c r="A27">
        <v>8</v>
      </c>
      <c r="B27" s="5" t="s">
        <v>66</v>
      </c>
      <c r="C27" s="9">
        <f t="shared" si="2"/>
        <v>0</v>
      </c>
      <c r="D27" s="9" t="str">
        <f t="shared" si="3"/>
        <v/>
      </c>
    </row>
    <row r="28" spans="1:5" ht="16" x14ac:dyDescent="0.2">
      <c r="A28">
        <v>9</v>
      </c>
      <c r="B28" s="5" t="s">
        <v>67</v>
      </c>
      <c r="C28" s="9">
        <f t="shared" si="2"/>
        <v>0</v>
      </c>
      <c r="D28" s="9" t="str">
        <f t="shared" si="3"/>
        <v/>
      </c>
    </row>
    <row r="29" spans="1:5" ht="16" x14ac:dyDescent="0.2">
      <c r="A29">
        <v>10</v>
      </c>
      <c r="B29" s="5" t="s">
        <v>68</v>
      </c>
      <c r="C29" s="9">
        <f t="shared" si="2"/>
        <v>0</v>
      </c>
      <c r="D29" s="9" t="str">
        <f t="shared" si="3"/>
        <v/>
      </c>
    </row>
    <row r="30" spans="1:5" ht="16" x14ac:dyDescent="0.2">
      <c r="A30">
        <v>11</v>
      </c>
      <c r="B30" s="5" t="s">
        <v>69</v>
      </c>
      <c r="C30" s="9">
        <f t="shared" si="2"/>
        <v>0</v>
      </c>
      <c r="D30" s="9" t="str">
        <f t="shared" si="3"/>
        <v/>
      </c>
    </row>
    <row r="31" spans="1:5" ht="16" x14ac:dyDescent="0.2">
      <c r="A31">
        <v>12</v>
      </c>
      <c r="B31" s="5" t="s">
        <v>70</v>
      </c>
      <c r="C31" s="9">
        <f t="shared" si="2"/>
        <v>0</v>
      </c>
      <c r="D31" s="9" t="str">
        <f t="shared" si="3"/>
        <v/>
      </c>
    </row>
    <row r="32" spans="1:5" ht="16" x14ac:dyDescent="0.2">
      <c r="A32">
        <v>13</v>
      </c>
      <c r="B32" s="5" t="s">
        <v>71</v>
      </c>
      <c r="C32" s="9">
        <f t="shared" si="2"/>
        <v>0</v>
      </c>
      <c r="D32" s="9" t="str">
        <f t="shared" si="3"/>
        <v/>
      </c>
    </row>
    <row r="33" spans="1:4" ht="16" x14ac:dyDescent="0.2">
      <c r="A33">
        <v>14</v>
      </c>
      <c r="B33" s="5" t="s">
        <v>72</v>
      </c>
      <c r="C33" s="9">
        <f t="shared" si="2"/>
        <v>0</v>
      </c>
      <c r="D33" s="9" t="str">
        <f t="shared" si="3"/>
        <v/>
      </c>
    </row>
    <row r="34" spans="1:4" ht="16" x14ac:dyDescent="0.2">
      <c r="A34">
        <v>15</v>
      </c>
      <c r="B34" s="5" t="s">
        <v>73</v>
      </c>
      <c r="C34" s="9">
        <f t="shared" si="2"/>
        <v>1</v>
      </c>
      <c r="D34" s="9" t="str">
        <f t="shared" si="3"/>
        <v>HIGH</v>
      </c>
    </row>
    <row r="35" spans="1:4" ht="16" x14ac:dyDescent="0.2">
      <c r="A35">
        <v>16</v>
      </c>
      <c r="B35" s="5" t="s">
        <v>74</v>
      </c>
      <c r="C35" s="9">
        <f t="shared" si="2"/>
        <v>0</v>
      </c>
      <c r="D35" s="9" t="str">
        <f t="shared" si="3"/>
        <v/>
      </c>
    </row>
    <row r="36" spans="1:4" ht="16" x14ac:dyDescent="0.2">
      <c r="A36">
        <v>17</v>
      </c>
      <c r="B36" s="5" t="s">
        <v>75</v>
      </c>
      <c r="C36" s="9">
        <f t="shared" si="2"/>
        <v>0</v>
      </c>
      <c r="D36" s="9" t="str">
        <f t="shared" si="3"/>
        <v/>
      </c>
    </row>
    <row r="37" spans="1:4" ht="16" x14ac:dyDescent="0.2">
      <c r="B37" s="5"/>
      <c r="C37" s="5"/>
      <c r="D37" s="5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Werkbladen</vt:lpstr>
      </vt:variant>
      <vt:variant>
        <vt:i4>2</vt:i4>
      </vt:variant>
      <vt:variant>
        <vt:lpstr>Benoemde bereiken</vt:lpstr>
      </vt:variant>
      <vt:variant>
        <vt:i4>1</vt:i4>
      </vt:variant>
    </vt:vector>
  </HeadingPairs>
  <TitlesOfParts>
    <vt:vector size="3" baseType="lpstr">
      <vt:lpstr>lncv</vt:lpstr>
      <vt:lpstr>HEX status</vt:lpstr>
      <vt:lpstr>lncv!Afdrukbereik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2021-09-30T13:12:49Z</cp:lastPrinted>
  <dcterms:created xsi:type="dcterms:W3CDTF">2021-09-15T07:35:42Z</dcterms:created>
  <dcterms:modified xsi:type="dcterms:W3CDTF">2022-11-24T18:56:55Z</dcterms:modified>
</cp:coreProperties>
</file>