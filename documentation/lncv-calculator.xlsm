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6AEB60D2-A232-3046-B348-AEBAB977BA8B}" xr6:coauthVersionLast="47" xr6:coauthVersionMax="47" xr10:uidLastSave="{00000000-0000-0000-0000-000000000000}"/>
  <bookViews>
    <workbookView xWindow="10160" yWindow="2740" windowWidth="30800" windowHeight="18500" activeTab="1" xr2:uid="{AB736944-4C1D-0647-892D-AD244D2AEA39}"/>
  </bookViews>
  <sheets>
    <sheet name="ln2b" sheetId="1" r:id="rId1"/>
    <sheet name="statu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2" l="1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19" i="2"/>
  <c r="D6" i="2"/>
  <c r="D7" i="2"/>
  <c r="D8" i="2"/>
  <c r="D9" i="2"/>
  <c r="D10" i="2"/>
  <c r="D11" i="2"/>
  <c r="D12" i="2"/>
  <c r="D13" i="2"/>
  <c r="D14" i="2"/>
  <c r="D5" i="2"/>
  <c r="B29" i="2"/>
  <c r="B30" i="2" s="1"/>
  <c r="B31" i="2" s="1"/>
  <c r="B32" i="2" s="1"/>
  <c r="B33" i="2" s="1"/>
  <c r="B34" i="2" s="1"/>
  <c r="B35" i="2" s="1"/>
  <c r="B36" i="2" s="1"/>
  <c r="D17" i="2"/>
  <c r="E17" i="2" s="1"/>
  <c r="C19" i="2" s="1"/>
  <c r="D3" i="2"/>
  <c r="E3" i="2" s="1"/>
  <c r="C14" i="2" s="1"/>
  <c r="F13" i="1"/>
  <c r="C13" i="1" s="1"/>
  <c r="F12" i="1"/>
  <c r="C12" i="1" s="1"/>
  <c r="F11" i="1"/>
  <c r="C11" i="1" s="1"/>
  <c r="F10" i="1"/>
  <c r="C10" i="1" s="1"/>
  <c r="F9" i="1"/>
  <c r="C9" i="1" s="1"/>
  <c r="F8" i="1"/>
  <c r="C8" i="1" s="1"/>
  <c r="F6" i="1"/>
  <c r="C6" i="1" s="1"/>
  <c r="C4" i="1"/>
  <c r="C3" i="1"/>
  <c r="C27" i="2" l="1"/>
  <c r="C29" i="2"/>
  <c r="C25" i="2"/>
  <c r="C35" i="2"/>
  <c r="C21" i="2"/>
  <c r="C24" i="2"/>
  <c r="C20" i="2"/>
  <c r="C30" i="2"/>
  <c r="C28" i="2"/>
  <c r="C26" i="2"/>
  <c r="C36" i="2"/>
  <c r="C23" i="2"/>
  <c r="C34" i="2"/>
  <c r="C22" i="2"/>
  <c r="C33" i="2"/>
  <c r="C32" i="2"/>
  <c r="C31" i="2"/>
  <c r="C13" i="2"/>
  <c r="C11" i="2"/>
  <c r="C10" i="2"/>
  <c r="C9" i="2"/>
  <c r="C7" i="2"/>
  <c r="C6" i="2"/>
  <c r="C5" i="2"/>
  <c r="C12" i="2"/>
  <c r="C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H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<sst xmlns="http://schemas.openxmlformats.org/spreadsheetml/2006/main" count="129" uniqueCount="91">
  <si>
    <t>LNCV Values for LN2Block</t>
  </si>
  <si>
    <t>LNCV</t>
  </si>
  <si>
    <t>VALUE</t>
  </si>
  <si>
    <t>ADDRESS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</si>
  <si>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</si>
  <si>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</si>
  <si>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</si>
  <si>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</si>
  <si>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</si>
  <si>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</si>
  <si>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</si>
  <si>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</si>
  <si>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</si>
  <si>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</si>
  <si>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</si>
  <si>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</si>
  <si>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</si>
  <si>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</si>
  <si>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</si>
  <si>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</si>
  <si>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</si>
  <si>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only grey fields are active</t>
  </si>
  <si>
    <t>address definitions for IN messages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</si>
  <si>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</si>
  <si>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</si>
  <si>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</si>
  <si>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</si>
  <si>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</si>
  <si>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</si>
  <si>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</si>
  <si>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</si>
  <si>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</si>
  <si>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</si>
  <si>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</si>
  <si>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address definitions for OUT messages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</si>
  <si>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</si>
  <si>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</si>
  <si>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</si>
  <si>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</si>
  <si>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</si>
  <si>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</si>
  <si>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</si>
  <si>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</si>
  <si>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</si>
  <si>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</si>
  <si>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</si>
  <si>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</si>
  <si>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</si>
  <si>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</si>
  <si>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</si>
  <si>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</si>
  <si>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</si>
  <si>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</si>
  <si>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</si>
  <si>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</si>
  <si>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</si>
  <si>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</si>
  <si>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</si>
  <si>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</si>
  <si>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</si>
  <si>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</si>
  <si>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</si>
  <si>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</si>
  <si>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</si>
  <si>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</si>
  <si>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</si>
  <si>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</si>
  <si>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</si>
  <si>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</si>
  <si>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HEX</t>
  </si>
  <si>
    <t>DEC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</si>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</sst>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1" xfId="0" quotePrefix="1" applyBorder="1"/>
    <xf numFmtId="0" fontId="0" fillId="0" borderId="0" xfId="0" quotePrefix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/>
  <dimension ref="A1:Y45"/>
  <sheetViews>
    <sheetView topLeftCell="A18" zoomScale="140" zoomScaleNormal="140" workbookViewId="0">
      <selection activeCell="A28" sqref="A28:A45"/>
    </sheetView>
  </sheetViews>
  <sheetFormatPr baseColWidth="10" defaultRowHeight="13" x14ac:dyDescent="0.15"/>
  <cols>
    <col min="1" max="1" width="54.83203125" bestFit="1" customWidth="1"/>
    <col min="7" max="7" width="3.83203125" bestFit="1" customWidth="1"/>
    <col min="8" max="17" width="2.1640625" bestFit="1" customWidth="1"/>
    <col min="18" max="24" width="3.1640625" bestFit="1" customWidth="1"/>
  </cols>
  <sheetData>
    <row r="1" spans="1:25" x14ac:dyDescent="0.15">
      <c r="A1" t="s">
        <v>54</v>
      </c>
      <c r="B1" s="6"/>
    </row>
    <row r="2" spans="1:25" x14ac:dyDescent="0.15">
      <c r="A2" s="1" t="s">
        <v>0</v>
      </c>
      <c r="B2" s="2" t="s">
        <v>1</v>
      </c>
      <c r="C2" s="2" t="s">
        <v>2</v>
      </c>
      <c r="D2" s="2" t="s">
        <v>3</v>
      </c>
    </row>
    <row r="3" spans="1:25" x14ac:dyDescent="0.15">
      <c r="A3" t="s">
        <v>4</v>
      </c>
      <c r="B3">
        <v>0</v>
      </c>
      <c r="C3">
        <f>F3</f>
        <v>0</v>
      </c>
      <c r="E3" s="2" t="s">
        <v>5</v>
      </c>
      <c r="F3">
        <v>0</v>
      </c>
    </row>
    <row r="4" spans="1:25" x14ac:dyDescent="0.15">
      <c r="A4" t="s">
        <v>6</v>
      </c>
      <c r="B4">
        <v>1</v>
      </c>
      <c r="C4">
        <f>F4</f>
        <v>1510</v>
      </c>
      <c r="E4" s="2" t="s">
        <v>5</v>
      </c>
      <c r="F4">
        <v>1510</v>
      </c>
    </row>
    <row r="5" spans="1:25" ht="198" x14ac:dyDescent="0.15">
      <c r="E5" s="2"/>
      <c r="G5" s="2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 t="s">
        <v>13</v>
      </c>
      <c r="N5" s="3"/>
      <c r="O5" s="3"/>
      <c r="P5" s="3"/>
      <c r="Q5" s="3"/>
      <c r="R5" s="3"/>
      <c r="S5" s="3"/>
      <c r="T5" s="3"/>
      <c r="U5" s="3"/>
      <c r="V5" s="3"/>
      <c r="W5" s="4"/>
      <c r="X5" s="4"/>
    </row>
    <row r="6" spans="1:25" x14ac:dyDescent="0.15">
      <c r="A6" t="s">
        <v>14</v>
      </c>
      <c r="B6">
        <v>2</v>
      </c>
      <c r="C6">
        <f>F6</f>
        <v>8</v>
      </c>
      <c r="E6" s="2" t="s">
        <v>5</v>
      </c>
      <c r="F6">
        <f>H6+2*I6+4*J6+8*K6+16*L6+32*M6+64*N6+128*O6+256*P6+512*Q6+1024*R6+2048*S6+4096*T6+8192*U6+16384*V6+32768*W6</f>
        <v>8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</row>
    <row r="7" spans="1:25" ht="40" customHeight="1" x14ac:dyDescent="0.15">
      <c r="E7" s="2"/>
      <c r="F7" s="2" t="s">
        <v>2</v>
      </c>
      <c r="G7" s="2" t="s">
        <v>7</v>
      </c>
      <c r="H7">
        <v>0</v>
      </c>
      <c r="I7">
        <v>1</v>
      </c>
      <c r="J7">
        <v>2</v>
      </c>
      <c r="K7">
        <v>3</v>
      </c>
      <c r="L7">
        <v>4</v>
      </c>
      <c r="M7">
        <v>5</v>
      </c>
      <c r="N7">
        <v>6</v>
      </c>
      <c r="O7">
        <v>7</v>
      </c>
      <c r="P7">
        <v>8</v>
      </c>
      <c r="Q7">
        <v>9</v>
      </c>
      <c r="R7">
        <v>10</v>
      </c>
      <c r="S7">
        <v>11</v>
      </c>
      <c r="T7">
        <v>12</v>
      </c>
      <c r="U7">
        <v>13</v>
      </c>
      <c r="V7">
        <v>14</v>
      </c>
      <c r="W7">
        <v>15</v>
      </c>
      <c r="Y7" t="s">
        <v>55</v>
      </c>
    </row>
    <row r="8" spans="1:25" x14ac:dyDescent="0.15">
      <c r="A8" t="s">
        <v>15</v>
      </c>
      <c r="B8">
        <v>3</v>
      </c>
      <c r="C8">
        <f t="shared" ref="C8:C13" si="0">F8</f>
        <v>12</v>
      </c>
      <c r="E8" s="2" t="s">
        <v>5</v>
      </c>
      <c r="F8">
        <f>H8+2*I8+4*J8+8*K8+16*L8+32*M8+64*N8+128*O8+256*P8+512*Q8+1024*R8+2048*S8+4096*T8+8192*U8+16384*V8+32768*W8</f>
        <v>12</v>
      </c>
      <c r="H8" s="5">
        <v>0</v>
      </c>
      <c r="I8" s="5">
        <v>0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Y8">
        <v>12</v>
      </c>
    </row>
    <row r="9" spans="1:25" x14ac:dyDescent="0.15">
      <c r="A9" t="s">
        <v>16</v>
      </c>
      <c r="B9">
        <v>4</v>
      </c>
      <c r="C9">
        <f t="shared" si="0"/>
        <v>0</v>
      </c>
      <c r="E9" s="2" t="s">
        <v>5</v>
      </c>
      <c r="F9">
        <f>H9+2*I9+4*J9+8*K9+16*L9+32*M9+64*N9+128*O9+256*P9+512*Q9+1024*R9+2048*S9+4096*T9+8192*U9+16384*V9+32768*W9</f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>
        <v>0</v>
      </c>
    </row>
    <row r="10" spans="1:25" x14ac:dyDescent="0.15">
      <c r="A10" t="s">
        <v>17</v>
      </c>
      <c r="B10">
        <v>5</v>
      </c>
      <c r="C10">
        <f t="shared" si="0"/>
        <v>0</v>
      </c>
      <c r="E10" s="2" t="s">
        <v>5</v>
      </c>
      <c r="F10">
        <f t="shared" ref="F10:F13" si="1">H10+2*I10+4*J10+8*K10+16*L10+32*M10+64*N10+128*O10+256*P10+512*Q10+1024*R10+2048*S10+4096*T10+8192*U10+16384*V10+32768*W10</f>
        <v>0</v>
      </c>
      <c r="H10" s="5">
        <v>0</v>
      </c>
      <c r="I10" s="5">
        <v>0</v>
      </c>
      <c r="Y10">
        <v>0</v>
      </c>
    </row>
    <row r="11" spans="1:25" x14ac:dyDescent="0.15">
      <c r="A11" t="s">
        <v>18</v>
      </c>
      <c r="B11">
        <v>6</v>
      </c>
      <c r="C11">
        <f t="shared" si="0"/>
        <v>0</v>
      </c>
      <c r="E11" s="2" t="s">
        <v>5</v>
      </c>
      <c r="F11">
        <f t="shared" si="1"/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Y11">
        <v>0</v>
      </c>
    </row>
    <row r="12" spans="1:25" x14ac:dyDescent="0.15">
      <c r="A12" t="s">
        <v>19</v>
      </c>
      <c r="B12">
        <v>7</v>
      </c>
      <c r="C12">
        <f t="shared" si="0"/>
        <v>0</v>
      </c>
      <c r="E12" s="2" t="s">
        <v>5</v>
      </c>
      <c r="F12">
        <f t="shared" si="1"/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1:25" x14ac:dyDescent="0.15">
      <c r="A13" t="s">
        <v>20</v>
      </c>
      <c r="B13">
        <v>8</v>
      </c>
      <c r="C13">
        <f t="shared" si="0"/>
        <v>0</v>
      </c>
      <c r="E13" s="2" t="s">
        <v>5</v>
      </c>
      <c r="F13">
        <f t="shared" si="1"/>
        <v>0</v>
      </c>
      <c r="H13" s="5">
        <v>0</v>
      </c>
      <c r="I13" s="5">
        <v>0</v>
      </c>
      <c r="Y13">
        <v>0</v>
      </c>
    </row>
    <row r="14" spans="1:25" x14ac:dyDescent="0.15">
      <c r="H14" s="2" t="s">
        <v>21</v>
      </c>
    </row>
    <row r="15" spans="1:25" x14ac:dyDescent="0.15">
      <c r="A15" s="1" t="s">
        <v>22</v>
      </c>
    </row>
    <row r="16" spans="1:25" x14ac:dyDescent="0.15">
      <c r="A16" s="2" t="s">
        <v>23</v>
      </c>
      <c r="B16">
        <v>10</v>
      </c>
      <c r="C16">
        <v>0</v>
      </c>
      <c r="E16" s="2" t="s">
        <v>24</v>
      </c>
    </row>
    <row r="17" spans="1:5" x14ac:dyDescent="0.15">
      <c r="A17" s="2" t="s">
        <v>25</v>
      </c>
      <c r="B17">
        <v>11</v>
      </c>
      <c r="C17">
        <v>0</v>
      </c>
      <c r="E17" s="2" t="s">
        <v>24</v>
      </c>
    </row>
    <row r="18" spans="1:5" x14ac:dyDescent="0.15">
      <c r="A18" t="s">
        <v>26</v>
      </c>
      <c r="B18">
        <v>12</v>
      </c>
      <c r="C18">
        <v>0</v>
      </c>
      <c r="E18" s="2" t="s">
        <v>24</v>
      </c>
    </row>
    <row r="19" spans="1:5" x14ac:dyDescent="0.15">
      <c r="A19" t="s">
        <v>27</v>
      </c>
      <c r="B19">
        <v>13</v>
      </c>
      <c r="C19">
        <v>0</v>
      </c>
      <c r="E19" s="2" t="s">
        <v>24</v>
      </c>
    </row>
    <row r="20" spans="1:5" x14ac:dyDescent="0.15">
      <c r="A20" t="s">
        <v>28</v>
      </c>
      <c r="B20">
        <v>14</v>
      </c>
      <c r="C20">
        <v>0</v>
      </c>
      <c r="E20" s="2" t="s">
        <v>24</v>
      </c>
    </row>
    <row r="21" spans="1:5" x14ac:dyDescent="0.15">
      <c r="A21" t="s">
        <v>29</v>
      </c>
      <c r="B21">
        <v>15</v>
      </c>
      <c r="C21">
        <v>0</v>
      </c>
      <c r="E21" s="2" t="s">
        <v>24</v>
      </c>
    </row>
    <row r="22" spans="1:5" x14ac:dyDescent="0.15">
      <c r="A22" t="s">
        <v>30</v>
      </c>
      <c r="B22">
        <v>16</v>
      </c>
      <c r="C22">
        <v>0</v>
      </c>
      <c r="E22" s="2" t="s">
        <v>24</v>
      </c>
    </row>
    <row r="23" spans="1:5" x14ac:dyDescent="0.15">
      <c r="A23" t="s">
        <v>31</v>
      </c>
      <c r="B23">
        <v>17</v>
      </c>
      <c r="C23">
        <v>0</v>
      </c>
      <c r="E23" s="2" t="s">
        <v>24</v>
      </c>
    </row>
    <row r="24" spans="1:5" x14ac:dyDescent="0.15">
      <c r="A24" t="s">
        <v>32</v>
      </c>
      <c r="B24">
        <v>18</v>
      </c>
      <c r="C24">
        <v>0</v>
      </c>
      <c r="E24" s="2" t="s">
        <v>24</v>
      </c>
    </row>
    <row r="25" spans="1:5" x14ac:dyDescent="0.15">
      <c r="A25" t="s">
        <v>33</v>
      </c>
      <c r="B25">
        <v>19</v>
      </c>
      <c r="C25">
        <v>0</v>
      </c>
      <c r="E25" s="2" t="s">
        <v>24</v>
      </c>
    </row>
    <row r="27" spans="1:5" x14ac:dyDescent="0.15">
      <c r="A27" s="1" t="s">
        <v>34</v>
      </c>
    </row>
    <row r="28" spans="1:5" x14ac:dyDescent="0.15">
      <c r="A28" t="s">
        <v>35</v>
      </c>
      <c r="B28">
        <v>20</v>
      </c>
      <c r="C28">
        <v>0</v>
      </c>
      <c r="E28" s="2" t="s">
        <v>36</v>
      </c>
    </row>
    <row r="29" spans="1:5" x14ac:dyDescent="0.15">
      <c r="A29" t="s">
        <v>37</v>
      </c>
      <c r="B29">
        <v>21</v>
      </c>
      <c r="C29">
        <v>0</v>
      </c>
      <c r="E29" s="2" t="s">
        <v>36</v>
      </c>
    </row>
    <row r="30" spans="1:5" x14ac:dyDescent="0.15">
      <c r="A30" t="s">
        <v>38</v>
      </c>
      <c r="B30">
        <v>22</v>
      </c>
      <c r="C30">
        <v>0</v>
      </c>
      <c r="E30" s="2" t="s">
        <v>36</v>
      </c>
    </row>
    <row r="31" spans="1:5" x14ac:dyDescent="0.15">
      <c r="A31" t="s">
        <v>39</v>
      </c>
      <c r="B31">
        <v>23</v>
      </c>
      <c r="C31">
        <v>0</v>
      </c>
      <c r="E31" s="2" t="s">
        <v>36</v>
      </c>
    </row>
    <row r="32" spans="1:5" x14ac:dyDescent="0.15">
      <c r="A32" t="s">
        <v>40</v>
      </c>
      <c r="B32">
        <v>24</v>
      </c>
      <c r="C32">
        <v>0</v>
      </c>
      <c r="E32" s="2" t="s">
        <v>36</v>
      </c>
    </row>
    <row r="33" spans="1:5" x14ac:dyDescent="0.15">
      <c r="A33" t="s">
        <v>41</v>
      </c>
      <c r="B33">
        <v>25</v>
      </c>
      <c r="C33">
        <v>0</v>
      </c>
      <c r="E33" s="2" t="s">
        <v>36</v>
      </c>
    </row>
    <row r="34" spans="1:5" x14ac:dyDescent="0.15">
      <c r="A34" s="2" t="s">
        <v>42</v>
      </c>
      <c r="B34">
        <v>26</v>
      </c>
      <c r="C34">
        <v>0</v>
      </c>
      <c r="E34" s="2" t="s">
        <v>36</v>
      </c>
    </row>
    <row r="35" spans="1:5" x14ac:dyDescent="0.15">
      <c r="A35" t="s">
        <v>43</v>
      </c>
      <c r="B35">
        <v>27</v>
      </c>
      <c r="C35">
        <v>0</v>
      </c>
      <c r="E35" s="2" t="s">
        <v>36</v>
      </c>
    </row>
    <row r="36" spans="1:5" x14ac:dyDescent="0.15">
      <c r="A36" t="s">
        <v>44</v>
      </c>
      <c r="B36">
        <v>28</v>
      </c>
      <c r="C36">
        <v>0</v>
      </c>
      <c r="E36" s="2" t="s">
        <v>36</v>
      </c>
    </row>
    <row r="37" spans="1:5" x14ac:dyDescent="0.15">
      <c r="A37" t="s">
        <v>45</v>
      </c>
      <c r="B37">
        <v>29</v>
      </c>
      <c r="C37">
        <v>0</v>
      </c>
      <c r="E37" s="2" t="s">
        <v>36</v>
      </c>
    </row>
    <row r="38" spans="1:5" x14ac:dyDescent="0.15">
      <c r="A38" t="s">
        <v>46</v>
      </c>
      <c r="B38">
        <v>30</v>
      </c>
      <c r="C38">
        <v>0</v>
      </c>
      <c r="E38" s="2" t="s">
        <v>36</v>
      </c>
    </row>
    <row r="39" spans="1:5" x14ac:dyDescent="0.15">
      <c r="A39" t="s">
        <v>47</v>
      </c>
      <c r="B39">
        <v>31</v>
      </c>
      <c r="C39">
        <v>0</v>
      </c>
      <c r="E39" s="2" t="s">
        <v>36</v>
      </c>
    </row>
    <row r="40" spans="1:5" x14ac:dyDescent="0.15">
      <c r="A40" t="s">
        <v>48</v>
      </c>
      <c r="B40">
        <v>32</v>
      </c>
      <c r="C40">
        <v>0</v>
      </c>
      <c r="E40" s="2" t="s">
        <v>36</v>
      </c>
    </row>
    <row r="41" spans="1:5" x14ac:dyDescent="0.15">
      <c r="A41" t="s">
        <v>49</v>
      </c>
      <c r="B41">
        <v>33</v>
      </c>
      <c r="C41">
        <v>0</v>
      </c>
      <c r="E41" s="2" t="s">
        <v>36</v>
      </c>
    </row>
    <row r="42" spans="1:5" x14ac:dyDescent="0.15">
      <c r="A42" t="s">
        <v>50</v>
      </c>
      <c r="B42">
        <v>34</v>
      </c>
      <c r="C42">
        <v>0</v>
      </c>
      <c r="E42" s="2" t="s">
        <v>36</v>
      </c>
    </row>
    <row r="43" spans="1:5" x14ac:dyDescent="0.15">
      <c r="A43" t="s">
        <v>51</v>
      </c>
      <c r="B43">
        <v>35</v>
      </c>
      <c r="C43">
        <v>0</v>
      </c>
      <c r="E43" s="2" t="s">
        <v>36</v>
      </c>
    </row>
    <row r="44" spans="1:5" x14ac:dyDescent="0.15">
      <c r="A44" t="s">
        <v>52</v>
      </c>
      <c r="B44">
        <v>36</v>
      </c>
      <c r="C44">
        <v>0</v>
      </c>
      <c r="E44" s="2" t="s">
        <v>36</v>
      </c>
    </row>
    <row r="45" spans="1:5" x14ac:dyDescent="0.15">
      <c r="A45" t="s">
        <v>53</v>
      </c>
      <c r="B45">
        <v>37</v>
      </c>
      <c r="C45">
        <v>0</v>
      </c>
      <c r="E45" s="2" t="s">
        <v>36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dimension ref="A1:E36"/>
  <sheetViews>
    <sheetView tabSelected="1" workbookViewId="0">
      <selection activeCell="E17" sqref="E17"/>
    </sheetView>
  </sheetViews>
  <sheetFormatPr baseColWidth="10" defaultRowHeight="13" x14ac:dyDescent="0.15"/>
  <cols>
    <col min="1" max="1" width="38" bestFit="1" customWidth="1"/>
    <col min="2" max="2" width="7.1640625" bestFit="1" customWidth="1"/>
    <col min="6" max="6" width="10.1640625" bestFit="1" customWidth="1"/>
  </cols>
  <sheetData>
    <row r="1" spans="1:5" ht="16" x14ac:dyDescent="0.2">
      <c r="A1" s="7" t="s">
        <v>56</v>
      </c>
      <c r="B1" s="7"/>
    </row>
    <row r="2" spans="1:5" x14ac:dyDescent="0.15">
      <c r="D2" t="s">
        <v>69</v>
      </c>
      <c r="E2" t="s">
        <v>70</v>
      </c>
    </row>
    <row r="3" spans="1:5" x14ac:dyDescent="0.15">
      <c r="A3" t="s">
        <v>57</v>
      </c>
      <c r="C3" s="8" t="s">
        <v>68</v>
      </c>
      <c r="D3" t="str">
        <f>IF(FIND("x",C3,1)&gt;0,RIGHT(C3,4),VALUE(C3))</f>
        <v>011F</v>
      </c>
      <c r="E3" s="11">
        <f>HEX2DEC(D3)</f>
        <v>287</v>
      </c>
    </row>
    <row r="5" spans="1:5" x14ac:dyDescent="0.15">
      <c r="A5" s="2" t="s">
        <v>58</v>
      </c>
      <c r="B5" s="2">
        <v>1</v>
      </c>
      <c r="C5">
        <f>_xlfn.BITAND(E$3,B5)/B5</f>
        <v>1</v>
      </c>
      <c r="D5" s="10" t="str">
        <f>IF((C5&gt;0),"HIGH","")</f>
        <v>HIGH</v>
      </c>
    </row>
    <row r="6" spans="1:5" x14ac:dyDescent="0.15">
      <c r="A6" s="2" t="s">
        <v>59</v>
      </c>
      <c r="B6" s="2">
        <v>2</v>
      </c>
      <c r="C6">
        <f>_xlfn.BITAND(E$3,B6)/B6</f>
        <v>1</v>
      </c>
      <c r="D6" s="10" t="str">
        <f t="shared" ref="D6:D14" si="0">IF((C6&gt;0),"HIGH","")</f>
        <v>HIGH</v>
      </c>
    </row>
    <row r="7" spans="1:5" x14ac:dyDescent="0.15">
      <c r="A7" t="s">
        <v>60</v>
      </c>
      <c r="B7" s="2">
        <v>4</v>
      </c>
      <c r="C7">
        <f t="shared" ref="C7:C14" si="1">_xlfn.BITAND(E$3,B7)/B7</f>
        <v>1</v>
      </c>
      <c r="D7" s="10" t="str">
        <f t="shared" si="0"/>
        <v>HIGH</v>
      </c>
    </row>
    <row r="8" spans="1:5" x14ac:dyDescent="0.15">
      <c r="A8" t="s">
        <v>61</v>
      </c>
      <c r="B8" s="2">
        <v>8</v>
      </c>
      <c r="C8">
        <f t="shared" si="1"/>
        <v>1</v>
      </c>
      <c r="D8" s="10" t="str">
        <f t="shared" si="0"/>
        <v>HIGH</v>
      </c>
    </row>
    <row r="9" spans="1:5" x14ac:dyDescent="0.15">
      <c r="A9" t="s">
        <v>62</v>
      </c>
      <c r="B9" s="2">
        <v>16</v>
      </c>
      <c r="C9">
        <f t="shared" si="1"/>
        <v>1</v>
      </c>
      <c r="D9" s="10" t="str">
        <f t="shared" si="0"/>
        <v>HIGH</v>
      </c>
    </row>
    <row r="10" spans="1:5" x14ac:dyDescent="0.15">
      <c r="A10" t="s">
        <v>63</v>
      </c>
      <c r="B10" s="2">
        <v>32</v>
      </c>
      <c r="C10">
        <f t="shared" si="1"/>
        <v>0</v>
      </c>
      <c r="D10" s="10" t="str">
        <f t="shared" si="0"/>
        <v/>
      </c>
    </row>
    <row r="11" spans="1:5" x14ac:dyDescent="0.15">
      <c r="A11" t="s">
        <v>64</v>
      </c>
      <c r="B11" s="2">
        <v>64</v>
      </c>
      <c r="C11">
        <f t="shared" si="1"/>
        <v>0</v>
      </c>
      <c r="D11" s="10" t="str">
        <f t="shared" si="0"/>
        <v/>
      </c>
    </row>
    <row r="12" spans="1:5" x14ac:dyDescent="0.15">
      <c r="A12" t="s">
        <v>65</v>
      </c>
      <c r="B12" s="2">
        <v>128</v>
      </c>
      <c r="C12">
        <f t="shared" si="1"/>
        <v>0</v>
      </c>
      <c r="D12" s="10" t="str">
        <f t="shared" si="0"/>
        <v/>
      </c>
    </row>
    <row r="13" spans="1:5" x14ac:dyDescent="0.15">
      <c r="A13" t="s">
        <v>66</v>
      </c>
      <c r="B13" s="2">
        <v>256</v>
      </c>
      <c r="C13">
        <f t="shared" si="1"/>
        <v>1</v>
      </c>
      <c r="D13" s="10" t="str">
        <f t="shared" si="0"/>
        <v>HIGH</v>
      </c>
    </row>
    <row r="14" spans="1:5" x14ac:dyDescent="0.15">
      <c r="A14" t="s">
        <v>67</v>
      </c>
      <c r="B14" s="2">
        <v>512</v>
      </c>
      <c r="C14">
        <f t="shared" si="1"/>
        <v>0</v>
      </c>
      <c r="D14" s="10" t="str">
        <f t="shared" si="0"/>
        <v/>
      </c>
    </row>
    <row r="16" spans="1:5" x14ac:dyDescent="0.15">
      <c r="D16" t="s">
        <v>69</v>
      </c>
      <c r="E16" t="s">
        <v>70</v>
      </c>
    </row>
    <row r="17" spans="1:5" x14ac:dyDescent="0.15">
      <c r="A17" t="s">
        <v>71</v>
      </c>
      <c r="C17" s="8" t="s">
        <v>90</v>
      </c>
      <c r="D17" t="str">
        <f>IF(FIND("x",C17,1)&gt;0,RIGHT(C17,4),VALUE(C17))</f>
        <v>8013</v>
      </c>
      <c r="E17" s="11">
        <f>HEX2DEC(D17)</f>
        <v>32787</v>
      </c>
    </row>
    <row r="18" spans="1:5" x14ac:dyDescent="0.15">
      <c r="C18" s="9"/>
    </row>
    <row r="19" spans="1:5" x14ac:dyDescent="0.15">
      <c r="A19" t="s">
        <v>72</v>
      </c>
      <c r="B19" s="2">
        <v>1</v>
      </c>
      <c r="C19">
        <f>_xlfn.BITAND(E$17,B19)/B19</f>
        <v>1</v>
      </c>
      <c r="D19" s="10" t="str">
        <f>IF((C19&gt;0),"HIGH","")</f>
        <v>HIGH</v>
      </c>
    </row>
    <row r="20" spans="1:5" x14ac:dyDescent="0.15">
      <c r="A20" t="s">
        <v>73</v>
      </c>
      <c r="B20" s="2">
        <v>2</v>
      </c>
      <c r="C20">
        <f t="shared" ref="C20:C36" si="2">_xlfn.BITAND(E$17,B20)/B20</f>
        <v>1</v>
      </c>
      <c r="D20" s="10" t="str">
        <f t="shared" ref="D20:D36" si="3">IF((C20&gt;0),"HIGH","")</f>
        <v>HIGH</v>
      </c>
    </row>
    <row r="21" spans="1:5" x14ac:dyDescent="0.15">
      <c r="A21" t="s">
        <v>74</v>
      </c>
      <c r="B21" s="2">
        <v>4</v>
      </c>
      <c r="C21">
        <f t="shared" si="2"/>
        <v>0</v>
      </c>
      <c r="D21" s="10" t="str">
        <f t="shared" si="3"/>
        <v/>
      </c>
    </row>
    <row r="22" spans="1:5" x14ac:dyDescent="0.15">
      <c r="A22" t="s">
        <v>75</v>
      </c>
      <c r="B22" s="2">
        <v>8</v>
      </c>
      <c r="C22">
        <f t="shared" si="2"/>
        <v>0</v>
      </c>
      <c r="D22" s="10" t="str">
        <f t="shared" si="3"/>
        <v/>
      </c>
    </row>
    <row r="23" spans="1:5" x14ac:dyDescent="0.15">
      <c r="A23" t="s">
        <v>76</v>
      </c>
      <c r="B23" s="2">
        <v>16</v>
      </c>
      <c r="C23">
        <f t="shared" si="2"/>
        <v>1</v>
      </c>
      <c r="D23" s="10" t="str">
        <f t="shared" si="3"/>
        <v>HIGH</v>
      </c>
    </row>
    <row r="24" spans="1:5" x14ac:dyDescent="0.15">
      <c r="A24" t="s">
        <v>77</v>
      </c>
      <c r="B24" s="2">
        <v>32</v>
      </c>
      <c r="C24">
        <f t="shared" si="2"/>
        <v>0</v>
      </c>
      <c r="D24" s="10" t="str">
        <f t="shared" si="3"/>
        <v/>
      </c>
    </row>
    <row r="25" spans="1:5" x14ac:dyDescent="0.15">
      <c r="A25" s="2" t="s">
        <v>78</v>
      </c>
      <c r="B25" s="2">
        <v>64</v>
      </c>
      <c r="C25">
        <f t="shared" si="2"/>
        <v>0</v>
      </c>
      <c r="D25" s="10" t="str">
        <f t="shared" si="3"/>
        <v/>
      </c>
    </row>
    <row r="26" spans="1:5" x14ac:dyDescent="0.15">
      <c r="A26" t="s">
        <v>79</v>
      </c>
      <c r="B26" s="2">
        <v>128</v>
      </c>
      <c r="C26">
        <f t="shared" si="2"/>
        <v>0</v>
      </c>
      <c r="D26" s="10" t="str">
        <f t="shared" si="3"/>
        <v/>
      </c>
    </row>
    <row r="27" spans="1:5" x14ac:dyDescent="0.15">
      <c r="A27" t="s">
        <v>80</v>
      </c>
      <c r="B27" s="2">
        <v>256</v>
      </c>
      <c r="C27">
        <f t="shared" si="2"/>
        <v>0</v>
      </c>
      <c r="D27" s="10" t="str">
        <f t="shared" si="3"/>
        <v/>
      </c>
    </row>
    <row r="28" spans="1:5" x14ac:dyDescent="0.15">
      <c r="A28" t="s">
        <v>81</v>
      </c>
      <c r="B28" s="2">
        <v>512</v>
      </c>
      <c r="C28">
        <f t="shared" si="2"/>
        <v>0</v>
      </c>
      <c r="D28" s="10" t="str">
        <f t="shared" si="3"/>
        <v/>
      </c>
    </row>
    <row r="29" spans="1:5" x14ac:dyDescent="0.15">
      <c r="A29" t="s">
        <v>82</v>
      </c>
      <c r="B29">
        <f>B28*2</f>
        <v>1024</v>
      </c>
      <c r="C29">
        <f t="shared" si="2"/>
        <v>0</v>
      </c>
      <c r="D29" s="10" t="str">
        <f t="shared" si="3"/>
        <v/>
      </c>
    </row>
    <row r="30" spans="1:5" x14ac:dyDescent="0.15">
      <c r="A30" t="s">
        <v>83</v>
      </c>
      <c r="B30">
        <f t="shared" ref="B30:B36" si="4">B29*2</f>
        <v>2048</v>
      </c>
      <c r="C30">
        <f t="shared" si="2"/>
        <v>0</v>
      </c>
      <c r="D30" s="10" t="str">
        <f t="shared" si="3"/>
        <v/>
      </c>
    </row>
    <row r="31" spans="1:5" x14ac:dyDescent="0.15">
      <c r="A31" t="s">
        <v>84</v>
      </c>
      <c r="B31">
        <f t="shared" si="4"/>
        <v>4096</v>
      </c>
      <c r="C31">
        <f t="shared" si="2"/>
        <v>0</v>
      </c>
      <c r="D31" s="10" t="str">
        <f t="shared" si="3"/>
        <v/>
      </c>
    </row>
    <row r="32" spans="1:5" x14ac:dyDescent="0.15">
      <c r="A32" t="s">
        <v>85</v>
      </c>
      <c r="B32">
        <f t="shared" si="4"/>
        <v>8192</v>
      </c>
      <c r="C32">
        <f t="shared" si="2"/>
        <v>0</v>
      </c>
      <c r="D32" s="10" t="str">
        <f t="shared" si="3"/>
        <v/>
      </c>
    </row>
    <row r="33" spans="1:4" x14ac:dyDescent="0.15">
      <c r="A33" t="s">
        <v>86</v>
      </c>
      <c r="B33">
        <f t="shared" si="4"/>
        <v>16384</v>
      </c>
      <c r="C33">
        <f t="shared" si="2"/>
        <v>0</v>
      </c>
      <c r="D33" s="10" t="str">
        <f t="shared" si="3"/>
        <v/>
      </c>
    </row>
    <row r="34" spans="1:4" x14ac:dyDescent="0.15">
      <c r="A34" t="s">
        <v>87</v>
      </c>
      <c r="B34">
        <f t="shared" si="4"/>
        <v>32768</v>
      </c>
      <c r="C34">
        <f t="shared" si="2"/>
        <v>1</v>
      </c>
      <c r="D34" s="10" t="str">
        <f t="shared" si="3"/>
        <v>HIGH</v>
      </c>
    </row>
    <row r="35" spans="1:4" x14ac:dyDescent="0.15">
      <c r="A35" t="s">
        <v>88</v>
      </c>
      <c r="B35">
        <f t="shared" si="4"/>
        <v>65536</v>
      </c>
      <c r="C35">
        <f t="shared" si="2"/>
        <v>0</v>
      </c>
      <c r="D35" s="10" t="str">
        <f t="shared" si="3"/>
        <v/>
      </c>
    </row>
    <row r="36" spans="1:4" x14ac:dyDescent="0.15">
      <c r="A36" t="s">
        <v>89</v>
      </c>
      <c r="B36">
        <f t="shared" si="4"/>
        <v>131072</v>
      </c>
      <c r="C36">
        <f t="shared" si="2"/>
        <v>0</v>
      </c>
      <c r="D36" s="10" t="str">
        <f t="shared" si="3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ln2b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2021-09-15T07:35:42Z</dcterms:created>
  <dcterms:modified xsi:type="dcterms:W3CDTF">2021-09-15T09:32:29Z</dcterms:modified>
</cp:coreProperties>
</file>