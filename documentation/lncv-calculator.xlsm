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16FB5A27-0DA6-4042-91C0-DA84C5A48F4A}" xr6:coauthVersionLast="47" xr6:coauthVersionMax="47" xr10:uidLastSave="{00000000-0000-0000-0000-000000000000}"/>
  <bookViews>
    <workbookView xWindow="3560" yWindow="1820" windowWidth="30800" windowHeight="18500" xr2:uid="{AB736944-4C1D-0647-892D-AD244D2AEA39}"/>
  </bookViews>
  <sheets>
    <sheet name="lncv" sheetId="1" r:id="rId1"/>
    <sheet name="HEX status" sheetId="2" r:id="rId2"/>
  </sheets>
  <definedNames>
    <definedName name="_xlnm.Print_Area" localSheetId="0">lncv!$A$1:$D$46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13" i="1"/>
  <c r="D6" i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10" i="1"/>
  <c r="D11" i="1"/>
  <c r="D12" i="1"/>
  <c r="D9" i="1"/>
  <c r="D8" i="1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<sst xmlns="http://schemas.openxmlformats.org/spreadsheetml/2006/main" count="268" uniqueCount="109">
  <si>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</si>
  <si>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</si>
  <si>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</si>
  <si>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</si>
  <si>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</si>
  <si>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</si>
  <si>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</si>
  <si>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</si>
  <si>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</si>
  <si>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</si>
  <si>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</si>
  <si>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</si>
  <si>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</si>
  <si>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</si>
  <si>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</si>
  <si>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</si>
  <si>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</si>
  <si>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</si>
  <si>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</si>
  <si>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</si>
  <si>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</si>
  <si>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</si>
  <si>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</si>
  <si>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</si>
  <si>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</si>
  <si>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</si>
  <si>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</si>
  <si>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</si>
  <si>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</si>
  <si>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</si>
  <si>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</si>
  <si>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</si>
  <si>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</si>
  <si>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</si>
  <si>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</si>
  <si>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</si>
  <si>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</si>
  <si>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</si>
  <si>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</si>
  <si>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</si>
  <si>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</si>
  <si>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</si>
  <si>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</si>
  <si>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</si>
  <si>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</si>
  <si>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</si>
  <si>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</si>
  <si>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</si>
  <si>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</si>
  <si>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</si>
  <si>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</si>
  <si>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</si>
  <si>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</si>
  <si>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</si>
  <si>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</si>
  <si>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</si>
  <si>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</si>
  <si>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</si>
  <si>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</si>
  <si>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</si>
  <si>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</si>
  <si>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</si>
  <si>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</si>
  <si>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</si>
  <si>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</si>
  <si>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</si>
  <si>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</si>
  <si>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</si>
  <si>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</si>
  <si>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</si>
  <si>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</si>
  <si>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</si>
  <si>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</si>
  <si>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</si>
  <si>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</si>
  <si>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</si>
  <si>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</si>
  <si>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</si>
  <si>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</si>
  <si>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</si>
  <si>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</si>
  <si>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</si>
  <si>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</si>
  <si>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</si>
  <si>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</si>
  <si>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</si>
  <si>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</si>
  <si>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</si>
  <si>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</si>
  <si>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</si>
  <si>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</si>
  <si>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</si>
  <si>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</si>
  <si>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</si>
  <si>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</si>
  <si>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</si>
  <si>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</si>
  <si>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</si>
  <si>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</si>
  <si>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</si>
  <si>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</si>
  <si>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</si>
  <si>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</si>
  <si>
    <t>RB-2Gl</t>
  </si>
  <si>
    <t>RBO-2Gl</t>
  </si>
  <si>
    <t>FB-2Gl</t>
  </si>
  <si>
    <t>o</t>
  </si>
  <si>
    <t>DISPLAY_FLIP</t>
  </si>
  <si>
    <t>FREE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</si>
</sst>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46"/>
  <sheetViews>
    <sheetView tabSelected="1" zoomScale="140" zoomScaleNormal="140" workbookViewId="0">
      <selection activeCell="C4" sqref="C1:C1048576"/>
    </sheetView>
  </sheetViews>
  <sheetFormatPr baseColWidth="10" defaultRowHeight="13" x14ac:dyDescent="0.15"/>
  <cols>
    <col min="2" max="2" width="54.83203125" bestFit="1" customWidth="1"/>
    <col min="3" max="3" width="10.83203125" style="7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16"/>
    </row>
    <row r="2" spans="1:24" x14ac:dyDescent="0.15">
      <c r="B2" s="1" t="s">
        <v>0</v>
      </c>
      <c r="C2" s="17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 s="7">
        <v>0</v>
      </c>
      <c r="D3" s="7">
        <v>0</v>
      </c>
    </row>
    <row r="4" spans="1:24" x14ac:dyDescent="0.15">
      <c r="A4" s="2" t="s">
        <v>4</v>
      </c>
      <c r="B4" t="s">
        <v>5</v>
      </c>
      <c r="C4" s="7">
        <v>1</v>
      </c>
      <c r="D4" s="7">
        <v>1510</v>
      </c>
    </row>
    <row r="5" spans="1:24" ht="198" x14ac:dyDescent="0.15">
      <c r="A5" s="2"/>
      <c r="C5" s="17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 t="s">
        <v>107</v>
      </c>
      <c r="N5" s="3" t="s">
        <v>108</v>
      </c>
      <c r="O5" s="3" t="s">
        <v>108</v>
      </c>
      <c r="P5" s="3" t="s">
        <v>108</v>
      </c>
      <c r="Q5" s="3" t="s">
        <v>108</v>
      </c>
      <c r="R5" s="3" t="s">
        <v>108</v>
      </c>
      <c r="S5" s="3" t="s">
        <v>108</v>
      </c>
      <c r="T5" s="3" t="s">
        <v>108</v>
      </c>
      <c r="U5" s="3" t="s">
        <v>108</v>
      </c>
      <c r="V5" s="3" t="s">
        <v>108</v>
      </c>
      <c r="W5" s="4"/>
    </row>
    <row r="6" spans="1:24" x14ac:dyDescent="0.15">
      <c r="A6" s="2" t="s">
        <v>4</v>
      </c>
      <c r="B6" t="s">
        <v>13</v>
      </c>
      <c r="C6" s="7">
        <v>2</v>
      </c>
      <c r="D6" s="7">
        <f>G6+2*H6+4*I6+8*J6+16*K6+32*L6+64*M6+128*N6+256*O6+512*P6+1024*Q6+2048*R6+4096*S6+8192*T6+16384*U6+32768*V6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4" ht="40" customHeight="1" x14ac:dyDescent="0.15">
      <c r="A7" s="2"/>
      <c r="C7" s="7" t="s">
        <v>95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 s="7">
        <v>3</v>
      </c>
      <c r="D8" s="7">
        <f t="shared" ref="D8:D13" si="0">G8+2*H8+4*I8+8*J8+16*K8+32*L8+64*M8+128*N8+256*O8+512*P8+1024*Q8+2048*R8+4096*S8+8192*T8+16384*U8+32768*V8</f>
        <v>12</v>
      </c>
      <c r="F8" s="7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 s="7">
        <v>4</v>
      </c>
      <c r="D9" s="7">
        <f t="shared" si="0"/>
        <v>0</v>
      </c>
      <c r="F9" s="7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 s="7">
        <v>5</v>
      </c>
      <c r="D10" s="7">
        <f t="shared" si="0"/>
        <v>0</v>
      </c>
      <c r="F10" s="7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 s="7">
        <v>6</v>
      </c>
      <c r="D11" s="7">
        <f t="shared" si="0"/>
        <v>0</v>
      </c>
      <c r="F11" s="7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 s="7">
        <v>7</v>
      </c>
      <c r="D12" s="7">
        <f t="shared" si="0"/>
        <v>0</v>
      </c>
      <c r="F12" s="7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 s="7">
        <v>8</v>
      </c>
      <c r="D13" s="7">
        <f t="shared" si="0"/>
        <v>0</v>
      </c>
      <c r="F13" s="7"/>
      <c r="G13" s="5">
        <f>F45</f>
        <v>0</v>
      </c>
      <c r="H13" s="5">
        <f>F46</f>
        <v>0</v>
      </c>
      <c r="X13">
        <v>0</v>
      </c>
    </row>
    <row r="14" spans="1:24" x14ac:dyDescent="0.15">
      <c r="A14" s="2" t="s">
        <v>4</v>
      </c>
      <c r="B14" t="s">
        <v>101</v>
      </c>
      <c r="C14" s="7">
        <v>9</v>
      </c>
      <c r="D14" s="7">
        <v>10</v>
      </c>
      <c r="E14" t="s">
        <v>102</v>
      </c>
    </row>
    <row r="15" spans="1:24" x14ac:dyDescent="0.15">
      <c r="C15" s="7" t="s">
        <v>95</v>
      </c>
      <c r="G15" s="2" t="s">
        <v>88</v>
      </c>
    </row>
    <row r="16" spans="1:24" ht="49" x14ac:dyDescent="0.15">
      <c r="A16" s="1" t="s">
        <v>87</v>
      </c>
      <c r="B16" s="1" t="s">
        <v>91</v>
      </c>
      <c r="C16" s="7" t="s">
        <v>95</v>
      </c>
      <c r="D16" s="1" t="s">
        <v>2</v>
      </c>
      <c r="E16" s="1" t="s">
        <v>86</v>
      </c>
      <c r="F16" s="1" t="s">
        <v>85</v>
      </c>
      <c r="H16" s="15" t="s">
        <v>96</v>
      </c>
      <c r="I16" s="15" t="s">
        <v>97</v>
      </c>
      <c r="J16" s="15" t="s">
        <v>103</v>
      </c>
      <c r="K16" s="15" t="s">
        <v>98</v>
      </c>
      <c r="L16" s="15" t="s">
        <v>104</v>
      </c>
      <c r="M16" s="15" t="s">
        <v>99</v>
      </c>
      <c r="N16" s="15" t="s">
        <v>105</v>
      </c>
    </row>
    <row r="17" spans="1:14" x14ac:dyDescent="0.15">
      <c r="A17" s="2" t="s">
        <v>21</v>
      </c>
      <c r="B17" s="2" t="s">
        <v>20</v>
      </c>
      <c r="C17" s="7">
        <v>10</v>
      </c>
      <c r="D17" s="7">
        <v>0</v>
      </c>
      <c r="E17" s="7">
        <v>0</v>
      </c>
      <c r="F17" s="7">
        <v>0</v>
      </c>
      <c r="H17" t="s">
        <v>95</v>
      </c>
      <c r="I17" t="s">
        <v>95</v>
      </c>
      <c r="K17" t="s">
        <v>95</v>
      </c>
      <c r="M17" t="s">
        <v>95</v>
      </c>
      <c r="N17" t="s">
        <v>95</v>
      </c>
    </row>
    <row r="18" spans="1:14" x14ac:dyDescent="0.15">
      <c r="A18" s="2" t="s">
        <v>21</v>
      </c>
      <c r="B18" s="2" t="s">
        <v>22</v>
      </c>
      <c r="C18" s="7">
        <v>11</v>
      </c>
      <c r="D18" s="7">
        <v>0</v>
      </c>
      <c r="E18" s="7">
        <v>0</v>
      </c>
      <c r="F18" s="7">
        <v>0</v>
      </c>
      <c r="H18" t="s">
        <v>95</v>
      </c>
      <c r="I18" t="s">
        <v>95</v>
      </c>
      <c r="K18" t="s">
        <v>95</v>
      </c>
      <c r="M18" t="s">
        <v>95</v>
      </c>
      <c r="N18" t="s">
        <v>95</v>
      </c>
    </row>
    <row r="19" spans="1:14" x14ac:dyDescent="0.15">
      <c r="A19" s="2" t="s">
        <v>21</v>
      </c>
      <c r="B19" t="s">
        <v>23</v>
      </c>
      <c r="C19" s="7">
        <v>12</v>
      </c>
      <c r="D19" s="7">
        <v>0</v>
      </c>
      <c r="E19" s="7">
        <v>1</v>
      </c>
      <c r="F19" s="7">
        <v>0</v>
      </c>
      <c r="H19" t="s">
        <v>95</v>
      </c>
      <c r="I19" t="s">
        <v>95</v>
      </c>
      <c r="K19" t="s">
        <v>95</v>
      </c>
      <c r="M19" t="s">
        <v>95</v>
      </c>
      <c r="N19" t="s">
        <v>95</v>
      </c>
    </row>
    <row r="20" spans="1:14" x14ac:dyDescent="0.15">
      <c r="A20" s="2" t="s">
        <v>21</v>
      </c>
      <c r="B20" t="s">
        <v>24</v>
      </c>
      <c r="C20" s="7">
        <v>13</v>
      </c>
      <c r="D20" s="7">
        <v>0</v>
      </c>
      <c r="E20" s="7">
        <v>1</v>
      </c>
      <c r="F20" s="7">
        <v>0</v>
      </c>
      <c r="H20" t="s">
        <v>95</v>
      </c>
      <c r="I20" t="s">
        <v>95</v>
      </c>
      <c r="K20" t="s">
        <v>95</v>
      </c>
      <c r="N20" t="s">
        <v>95</v>
      </c>
    </row>
    <row r="21" spans="1:14" x14ac:dyDescent="0.15">
      <c r="A21" s="2" t="s">
        <v>21</v>
      </c>
      <c r="B21" t="s">
        <v>25</v>
      </c>
      <c r="C21" s="7">
        <v>14</v>
      </c>
      <c r="D21" s="7">
        <v>0</v>
      </c>
      <c r="E21" s="7">
        <v>0</v>
      </c>
      <c r="F21" s="7">
        <v>0</v>
      </c>
      <c r="H21" t="s">
        <v>95</v>
      </c>
      <c r="I21" t="s">
        <v>95</v>
      </c>
      <c r="K21" t="s">
        <v>95</v>
      </c>
      <c r="M21" t="s">
        <v>95</v>
      </c>
      <c r="N21" t="s">
        <v>95</v>
      </c>
    </row>
    <row r="22" spans="1:14" x14ac:dyDescent="0.15">
      <c r="A22" s="2" t="s">
        <v>21</v>
      </c>
      <c r="B22" t="s">
        <v>26</v>
      </c>
      <c r="C22" s="7">
        <v>15</v>
      </c>
      <c r="D22" s="7">
        <v>0</v>
      </c>
      <c r="E22" s="7">
        <v>0</v>
      </c>
      <c r="F22" s="7">
        <v>0</v>
      </c>
      <c r="I22" t="s">
        <v>95</v>
      </c>
      <c r="K22" t="s">
        <v>95</v>
      </c>
      <c r="M22" t="s">
        <v>95</v>
      </c>
      <c r="N22" t="s">
        <v>95</v>
      </c>
    </row>
    <row r="23" spans="1:14" x14ac:dyDescent="0.15">
      <c r="A23" s="2" t="s">
        <v>21</v>
      </c>
      <c r="B23" t="s">
        <v>27</v>
      </c>
      <c r="C23" s="7">
        <v>16</v>
      </c>
      <c r="D23" s="7">
        <v>0</v>
      </c>
      <c r="E23" s="7">
        <v>0</v>
      </c>
      <c r="F23" s="7">
        <v>0</v>
      </c>
      <c r="H23" t="s">
        <v>95</v>
      </c>
      <c r="I23" t="s">
        <v>95</v>
      </c>
      <c r="K23" t="s">
        <v>95</v>
      </c>
      <c r="M23" t="s">
        <v>95</v>
      </c>
      <c r="N23" t="s">
        <v>95</v>
      </c>
    </row>
    <row r="24" spans="1:14" x14ac:dyDescent="0.15">
      <c r="A24" s="2" t="s">
        <v>21</v>
      </c>
      <c r="B24" t="s">
        <v>28</v>
      </c>
      <c r="C24" s="7">
        <v>17</v>
      </c>
      <c r="D24" s="7">
        <v>0</v>
      </c>
      <c r="E24" s="7">
        <v>0</v>
      </c>
      <c r="F24" s="7">
        <v>0</v>
      </c>
      <c r="I24" t="s">
        <v>95</v>
      </c>
      <c r="K24" t="s">
        <v>95</v>
      </c>
    </row>
    <row r="25" spans="1:14" x14ac:dyDescent="0.15">
      <c r="A25" s="2" t="s">
        <v>21</v>
      </c>
      <c r="B25" t="s">
        <v>29</v>
      </c>
      <c r="C25" s="7">
        <v>18</v>
      </c>
      <c r="D25" s="7">
        <v>0</v>
      </c>
      <c r="E25" s="7">
        <v>0</v>
      </c>
      <c r="F25" s="7">
        <v>0</v>
      </c>
      <c r="I25" t="s">
        <v>95</v>
      </c>
      <c r="K25" t="s">
        <v>95</v>
      </c>
    </row>
    <row r="26" spans="1:14" x14ac:dyDescent="0.15">
      <c r="A26" s="2" t="s">
        <v>21</v>
      </c>
      <c r="B26" t="s">
        <v>30</v>
      </c>
      <c r="C26" s="7">
        <v>19</v>
      </c>
      <c r="D26" s="7">
        <v>0</v>
      </c>
      <c r="E26" s="7">
        <v>0</v>
      </c>
      <c r="F26" s="7">
        <v>0</v>
      </c>
      <c r="H26" t="s">
        <v>106</v>
      </c>
      <c r="I26" t="s">
        <v>106</v>
      </c>
      <c r="J26" t="s">
        <v>106</v>
      </c>
      <c r="K26" t="s">
        <v>106</v>
      </c>
      <c r="L26" t="s">
        <v>106</v>
      </c>
      <c r="M26" t="s">
        <v>106</v>
      </c>
      <c r="N26" t="s">
        <v>106</v>
      </c>
    </row>
    <row r="27" spans="1:14" x14ac:dyDescent="0.15">
      <c r="C27" s="7" t="s">
        <v>95</v>
      </c>
      <c r="H27" s="14"/>
    </row>
    <row r="28" spans="1:14" ht="49" x14ac:dyDescent="0.15">
      <c r="A28" s="1" t="s">
        <v>87</v>
      </c>
      <c r="B28" s="1" t="s">
        <v>92</v>
      </c>
      <c r="C28" s="7" t="s">
        <v>95</v>
      </c>
      <c r="D28" s="1" t="s">
        <v>2</v>
      </c>
      <c r="E28" s="1" t="s">
        <v>86</v>
      </c>
      <c r="F28" s="1" t="s">
        <v>85</v>
      </c>
      <c r="H28" s="15" t="s">
        <v>96</v>
      </c>
      <c r="I28" s="15" t="s">
        <v>97</v>
      </c>
      <c r="J28" s="15" t="s">
        <v>103</v>
      </c>
      <c r="K28" s="15" t="s">
        <v>98</v>
      </c>
      <c r="L28" s="15" t="s">
        <v>104</v>
      </c>
      <c r="M28" s="15" t="s">
        <v>99</v>
      </c>
      <c r="N28" s="15" t="s">
        <v>105</v>
      </c>
    </row>
    <row r="29" spans="1:14" x14ac:dyDescent="0.15">
      <c r="A29" s="2" t="s">
        <v>32</v>
      </c>
      <c r="B29" t="s">
        <v>31</v>
      </c>
      <c r="C29" s="7">
        <v>20</v>
      </c>
      <c r="D29" s="7">
        <v>0</v>
      </c>
      <c r="E29" s="7">
        <v>0</v>
      </c>
      <c r="F29" s="7">
        <v>0</v>
      </c>
      <c r="M29" t="s">
        <v>95</v>
      </c>
      <c r="N29" t="s">
        <v>95</v>
      </c>
    </row>
    <row r="30" spans="1:14" x14ac:dyDescent="0.15">
      <c r="A30" s="2" t="s">
        <v>32</v>
      </c>
      <c r="B30" t="s">
        <v>33</v>
      </c>
      <c r="C30" s="7">
        <v>21</v>
      </c>
      <c r="D30" s="7">
        <v>0</v>
      </c>
      <c r="E30" s="7">
        <v>0</v>
      </c>
      <c r="F30" s="7">
        <v>0</v>
      </c>
    </row>
    <row r="31" spans="1:14" x14ac:dyDescent="0.15">
      <c r="A31" s="2" t="s">
        <v>32</v>
      </c>
      <c r="B31" t="s">
        <v>34</v>
      </c>
      <c r="C31" s="7">
        <v>22</v>
      </c>
      <c r="D31" s="7">
        <v>0</v>
      </c>
      <c r="E31" s="7">
        <v>0</v>
      </c>
      <c r="F31" s="7">
        <v>0</v>
      </c>
      <c r="M31" t="s">
        <v>95</v>
      </c>
      <c r="N31" t="s">
        <v>95</v>
      </c>
    </row>
    <row r="32" spans="1:14" x14ac:dyDescent="0.15">
      <c r="A32" s="2" t="s">
        <v>32</v>
      </c>
      <c r="B32" t="s">
        <v>35</v>
      </c>
      <c r="C32" s="7">
        <v>23</v>
      </c>
      <c r="D32" s="7">
        <v>0</v>
      </c>
      <c r="E32" s="7">
        <v>0</v>
      </c>
      <c r="F32" s="7">
        <v>0</v>
      </c>
    </row>
    <row r="33" spans="1:14" x14ac:dyDescent="0.15">
      <c r="A33" s="2" t="s">
        <v>32</v>
      </c>
      <c r="B33" t="s">
        <v>36</v>
      </c>
      <c r="C33" s="7">
        <v>24</v>
      </c>
      <c r="D33" s="7">
        <v>0</v>
      </c>
      <c r="E33" s="7">
        <v>0</v>
      </c>
      <c r="F33" s="7">
        <v>0</v>
      </c>
      <c r="H33" t="s">
        <v>106</v>
      </c>
      <c r="I33" t="s">
        <v>106</v>
      </c>
      <c r="J33" t="s">
        <v>106</v>
      </c>
      <c r="K33" t="s">
        <v>106</v>
      </c>
      <c r="L33" t="s">
        <v>106</v>
      </c>
      <c r="M33" t="s">
        <v>106</v>
      </c>
      <c r="N33" t="s">
        <v>106</v>
      </c>
    </row>
    <row r="34" spans="1:14" x14ac:dyDescent="0.15">
      <c r="A34" s="2" t="s">
        <v>32</v>
      </c>
      <c r="B34" t="s">
        <v>37</v>
      </c>
      <c r="C34" s="7">
        <v>25</v>
      </c>
      <c r="D34" s="7">
        <v>0</v>
      </c>
      <c r="E34" s="7">
        <v>0</v>
      </c>
      <c r="F34" s="7">
        <v>0</v>
      </c>
      <c r="H34" t="s">
        <v>100</v>
      </c>
    </row>
    <row r="35" spans="1:14" x14ac:dyDescent="0.15">
      <c r="A35" s="2" t="s">
        <v>32</v>
      </c>
      <c r="B35" s="2" t="s">
        <v>38</v>
      </c>
      <c r="C35" s="7">
        <v>26</v>
      </c>
      <c r="D35" s="7">
        <v>0</v>
      </c>
      <c r="E35" s="7">
        <v>0</v>
      </c>
      <c r="F35" s="7">
        <v>0</v>
      </c>
      <c r="H35" t="s">
        <v>100</v>
      </c>
    </row>
    <row r="36" spans="1:14" x14ac:dyDescent="0.15">
      <c r="A36" s="2" t="s">
        <v>32</v>
      </c>
      <c r="B36" t="s">
        <v>39</v>
      </c>
      <c r="C36" s="7">
        <v>27</v>
      </c>
      <c r="D36" s="7">
        <v>0</v>
      </c>
      <c r="E36" s="7">
        <v>0</v>
      </c>
      <c r="F36" s="7">
        <v>0</v>
      </c>
      <c r="I36" t="s">
        <v>100</v>
      </c>
      <c r="K36" t="s">
        <v>100</v>
      </c>
    </row>
    <row r="37" spans="1:14" x14ac:dyDescent="0.15">
      <c r="A37" s="2" t="s">
        <v>32</v>
      </c>
      <c r="B37" t="s">
        <v>40</v>
      </c>
      <c r="C37" s="7">
        <v>28</v>
      </c>
      <c r="D37" s="7">
        <v>0</v>
      </c>
      <c r="E37" s="7">
        <v>0</v>
      </c>
      <c r="F37" s="7">
        <v>0</v>
      </c>
      <c r="I37" t="s">
        <v>100</v>
      </c>
      <c r="K37" t="s">
        <v>100</v>
      </c>
      <c r="M37" t="s">
        <v>95</v>
      </c>
      <c r="N37" t="s">
        <v>95</v>
      </c>
    </row>
    <row r="38" spans="1:14" x14ac:dyDescent="0.15">
      <c r="A38" s="2" t="s">
        <v>32</v>
      </c>
      <c r="B38" t="s">
        <v>41</v>
      </c>
      <c r="C38" s="7">
        <v>29</v>
      </c>
      <c r="D38" s="7">
        <v>0</v>
      </c>
      <c r="E38" s="7">
        <v>0</v>
      </c>
      <c r="F38" s="7">
        <v>0</v>
      </c>
      <c r="I38" t="s">
        <v>100</v>
      </c>
      <c r="K38" t="s">
        <v>100</v>
      </c>
      <c r="M38" t="s">
        <v>95</v>
      </c>
      <c r="N38" t="s">
        <v>95</v>
      </c>
    </row>
    <row r="39" spans="1:14" x14ac:dyDescent="0.15">
      <c r="A39" s="2" t="s">
        <v>32</v>
      </c>
      <c r="B39" t="s">
        <v>42</v>
      </c>
      <c r="C39" s="7">
        <v>30</v>
      </c>
      <c r="D39" s="7">
        <v>0</v>
      </c>
      <c r="E39" s="7">
        <v>0</v>
      </c>
      <c r="F39" s="7">
        <v>0</v>
      </c>
      <c r="I39" t="s">
        <v>100</v>
      </c>
      <c r="K39" t="s">
        <v>100</v>
      </c>
    </row>
    <row r="40" spans="1:14" x14ac:dyDescent="0.15">
      <c r="A40" s="2" t="s">
        <v>32</v>
      </c>
      <c r="B40" t="s">
        <v>43</v>
      </c>
      <c r="C40" s="7">
        <v>31</v>
      </c>
      <c r="D40" s="7">
        <v>0</v>
      </c>
      <c r="E40" s="7">
        <v>0</v>
      </c>
      <c r="F40" s="7">
        <v>0</v>
      </c>
      <c r="K40" t="s">
        <v>100</v>
      </c>
    </row>
    <row r="41" spans="1:14" x14ac:dyDescent="0.15">
      <c r="A41" s="2" t="s">
        <v>32</v>
      </c>
      <c r="B41" t="s">
        <v>44</v>
      </c>
      <c r="C41" s="7">
        <v>32</v>
      </c>
      <c r="D41" s="7">
        <v>0</v>
      </c>
      <c r="E41" s="7">
        <v>0</v>
      </c>
      <c r="F41" s="7">
        <v>0</v>
      </c>
      <c r="K41" t="s">
        <v>100</v>
      </c>
    </row>
    <row r="42" spans="1:14" x14ac:dyDescent="0.15">
      <c r="A42" s="2" t="s">
        <v>32</v>
      </c>
      <c r="B42" t="s">
        <v>45</v>
      </c>
      <c r="C42" s="7">
        <v>33</v>
      </c>
      <c r="D42" s="7">
        <v>0</v>
      </c>
      <c r="E42" s="7">
        <v>0</v>
      </c>
      <c r="F42" s="7">
        <v>0</v>
      </c>
      <c r="I42" t="s">
        <v>100</v>
      </c>
    </row>
    <row r="43" spans="1:14" x14ac:dyDescent="0.15">
      <c r="A43" s="2" t="s">
        <v>32</v>
      </c>
      <c r="B43" t="s">
        <v>46</v>
      </c>
      <c r="C43" s="7">
        <v>34</v>
      </c>
      <c r="D43" s="7">
        <v>0</v>
      </c>
      <c r="E43" s="7">
        <v>0</v>
      </c>
      <c r="F43" s="7">
        <v>0</v>
      </c>
      <c r="H43" t="s">
        <v>95</v>
      </c>
      <c r="I43" t="s">
        <v>95</v>
      </c>
      <c r="J43" t="s">
        <v>95</v>
      </c>
      <c r="K43" t="s">
        <v>95</v>
      </c>
      <c r="L43" t="s">
        <v>95</v>
      </c>
      <c r="M43" t="s">
        <v>95</v>
      </c>
      <c r="N43" t="s">
        <v>95</v>
      </c>
    </row>
    <row r="44" spans="1:14" x14ac:dyDescent="0.15">
      <c r="A44" s="2" t="s">
        <v>32</v>
      </c>
      <c r="B44" t="s">
        <v>47</v>
      </c>
      <c r="C44" s="7">
        <v>35</v>
      </c>
      <c r="D44" s="7">
        <v>0</v>
      </c>
      <c r="E44" s="7">
        <v>0</v>
      </c>
      <c r="F44" s="7">
        <v>0</v>
      </c>
      <c r="H44" t="s">
        <v>100</v>
      </c>
      <c r="I44" t="s">
        <v>95</v>
      </c>
      <c r="J44" t="s">
        <v>95</v>
      </c>
      <c r="M44" t="s">
        <v>95</v>
      </c>
      <c r="N44" t="s">
        <v>95</v>
      </c>
    </row>
    <row r="45" spans="1:14" x14ac:dyDescent="0.15">
      <c r="A45" s="2" t="s">
        <v>32</v>
      </c>
      <c r="B45" t="s">
        <v>48</v>
      </c>
      <c r="C45" s="7">
        <v>36</v>
      </c>
      <c r="D45" s="7">
        <v>0</v>
      </c>
      <c r="E45" s="7">
        <v>0</v>
      </c>
      <c r="F45" s="7">
        <v>0</v>
      </c>
      <c r="H45" t="s">
        <v>100</v>
      </c>
      <c r="I45" t="s">
        <v>95</v>
      </c>
      <c r="J45" t="s">
        <v>95</v>
      </c>
      <c r="M45" t="s">
        <v>95</v>
      </c>
      <c r="N45" t="s">
        <v>95</v>
      </c>
    </row>
    <row r="46" spans="1:14" x14ac:dyDescent="0.15">
      <c r="A46" s="2" t="s">
        <v>32</v>
      </c>
      <c r="B46" t="s">
        <v>49</v>
      </c>
      <c r="C46" s="7">
        <v>37</v>
      </c>
      <c r="D46" s="7">
        <v>0</v>
      </c>
      <c r="E46" s="7">
        <v>0</v>
      </c>
      <c r="F46" s="7">
        <v>0</v>
      </c>
      <c r="H46" t="s">
        <v>95</v>
      </c>
      <c r="I46" t="s">
        <v>95</v>
      </c>
      <c r="J46" t="s">
        <v>95</v>
      </c>
      <c r="K46" t="s">
        <v>95</v>
      </c>
      <c r="L46" t="s">
        <v>95</v>
      </c>
      <c r="M46" t="s">
        <v>95</v>
      </c>
      <c r="N46" t="s">
        <v>95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C5" sqref="C5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2" t="s">
        <v>52</v>
      </c>
      <c r="C1" s="6" t="s">
        <v>93</v>
      </c>
      <c r="D1" s="6"/>
    </row>
    <row r="2" spans="1:5" ht="16" x14ac:dyDescent="0.2">
      <c r="B2" s="6"/>
      <c r="C2" s="6"/>
      <c r="D2" s="13" t="s">
        <v>89</v>
      </c>
      <c r="E2" s="13" t="s">
        <v>90</v>
      </c>
    </row>
    <row r="3" spans="1:5" ht="16" x14ac:dyDescent="0.2">
      <c r="B3" s="12" t="s">
        <v>53</v>
      </c>
      <c r="C3" s="9" t="s">
        <v>64</v>
      </c>
      <c r="D3" s="6" t="str">
        <f>IF(FIND("x",C3,1)&gt;0,RIGHT(C3,4),VALUE(C3))</f>
        <v>011F</v>
      </c>
      <c r="E3" s="8">
        <f>HEX2DEC(D3)</f>
        <v>287</v>
      </c>
    </row>
    <row r="4" spans="1:5" ht="16" x14ac:dyDescent="0.2">
      <c r="A4" t="s">
        <v>94</v>
      </c>
      <c r="B4" s="6"/>
      <c r="C4" s="6"/>
      <c r="D4" s="6"/>
    </row>
    <row r="5" spans="1:5" ht="16" x14ac:dyDescent="0.2">
      <c r="A5">
        <v>0</v>
      </c>
      <c r="B5" s="6" t="s">
        <v>54</v>
      </c>
      <c r="C5" s="10">
        <f t="shared" ref="C5:C14" si="0">_xlfn.BITAND(E$3,POWER(2,A5))/POWER(2,A5)</f>
        <v>1</v>
      </c>
      <c r="D5" s="10" t="str">
        <f>IF((C5&gt;0),"HIGH","")</f>
        <v>HIGH</v>
      </c>
    </row>
    <row r="6" spans="1:5" ht="16" x14ac:dyDescent="0.2">
      <c r="A6">
        <v>1</v>
      </c>
      <c r="B6" s="6" t="s">
        <v>55</v>
      </c>
      <c r="C6" s="10">
        <f t="shared" si="0"/>
        <v>1</v>
      </c>
      <c r="D6" s="10" t="str">
        <f t="shared" ref="D6:D14" si="1">IF((C6&gt;0),"HIGH","")</f>
        <v>HIGH</v>
      </c>
    </row>
    <row r="7" spans="1:5" ht="16" x14ac:dyDescent="0.2">
      <c r="A7">
        <v>2</v>
      </c>
      <c r="B7" s="6" t="s">
        <v>56</v>
      </c>
      <c r="C7" s="10">
        <f t="shared" si="0"/>
        <v>1</v>
      </c>
      <c r="D7" s="10" t="str">
        <f t="shared" si="1"/>
        <v>HIGH</v>
      </c>
    </row>
    <row r="8" spans="1:5" ht="16" x14ac:dyDescent="0.2">
      <c r="A8">
        <v>3</v>
      </c>
      <c r="B8" s="6" t="s">
        <v>57</v>
      </c>
      <c r="C8" s="10">
        <f t="shared" si="0"/>
        <v>1</v>
      </c>
      <c r="D8" s="10" t="str">
        <f t="shared" si="1"/>
        <v>HIGH</v>
      </c>
    </row>
    <row r="9" spans="1:5" ht="16" x14ac:dyDescent="0.2">
      <c r="A9">
        <v>4</v>
      </c>
      <c r="B9" s="6" t="s">
        <v>58</v>
      </c>
      <c r="C9" s="10">
        <f t="shared" si="0"/>
        <v>1</v>
      </c>
      <c r="D9" s="10" t="str">
        <f t="shared" si="1"/>
        <v>HIGH</v>
      </c>
    </row>
    <row r="10" spans="1:5" ht="16" x14ac:dyDescent="0.2">
      <c r="A10">
        <v>5</v>
      </c>
      <c r="B10" s="6" t="s">
        <v>59</v>
      </c>
      <c r="C10" s="10">
        <f t="shared" si="0"/>
        <v>0</v>
      </c>
      <c r="D10" s="10" t="str">
        <f t="shared" si="1"/>
        <v/>
      </c>
    </row>
    <row r="11" spans="1:5" ht="16" x14ac:dyDescent="0.2">
      <c r="A11">
        <v>6</v>
      </c>
      <c r="B11" s="6" t="s">
        <v>60</v>
      </c>
      <c r="C11" s="10">
        <f t="shared" si="0"/>
        <v>0</v>
      </c>
      <c r="D11" s="10" t="str">
        <f t="shared" si="1"/>
        <v/>
      </c>
    </row>
    <row r="12" spans="1:5" ht="16" x14ac:dyDescent="0.2">
      <c r="A12">
        <v>7</v>
      </c>
      <c r="B12" s="6" t="s">
        <v>61</v>
      </c>
      <c r="C12" s="10">
        <f t="shared" si="0"/>
        <v>0</v>
      </c>
      <c r="D12" s="10" t="str">
        <f t="shared" si="1"/>
        <v/>
      </c>
    </row>
    <row r="13" spans="1:5" ht="16" x14ac:dyDescent="0.2">
      <c r="A13">
        <v>8</v>
      </c>
      <c r="B13" s="6" t="s">
        <v>62</v>
      </c>
      <c r="C13" s="10">
        <f t="shared" si="0"/>
        <v>1</v>
      </c>
      <c r="D13" s="10" t="str">
        <f t="shared" si="1"/>
        <v>HIGH</v>
      </c>
    </row>
    <row r="14" spans="1:5" ht="16" x14ac:dyDescent="0.2">
      <c r="A14">
        <v>9</v>
      </c>
      <c r="B14" s="6" t="s">
        <v>63</v>
      </c>
      <c r="C14" s="10">
        <f t="shared" si="0"/>
        <v>0</v>
      </c>
      <c r="D14" s="10" t="str">
        <f t="shared" si="1"/>
        <v/>
      </c>
    </row>
    <row r="15" spans="1:5" ht="16" x14ac:dyDescent="0.2">
      <c r="B15" s="6"/>
      <c r="C15" s="6"/>
      <c r="D15" s="6"/>
    </row>
    <row r="16" spans="1:5" ht="16" x14ac:dyDescent="0.2">
      <c r="B16" s="6"/>
      <c r="C16" s="6"/>
      <c r="D16" s="13" t="s">
        <v>89</v>
      </c>
      <c r="E16" s="13" t="s">
        <v>90</v>
      </c>
    </row>
    <row r="17" spans="1:5" ht="16" x14ac:dyDescent="0.2">
      <c r="B17" s="12" t="s">
        <v>65</v>
      </c>
      <c r="C17" s="9" t="s">
        <v>84</v>
      </c>
      <c r="D17" s="6" t="str">
        <f>IF(FIND("x",C17,1)&gt;0,RIGHT(C17,4),VALUE(C17))</f>
        <v>8013</v>
      </c>
      <c r="E17" s="8">
        <f>HEX2DEC(D17)</f>
        <v>32787</v>
      </c>
    </row>
    <row r="18" spans="1:5" ht="16" x14ac:dyDescent="0.2">
      <c r="A18" t="s">
        <v>94</v>
      </c>
      <c r="B18" s="6"/>
      <c r="C18" s="11"/>
      <c r="D18" s="6"/>
    </row>
    <row r="19" spans="1:5" ht="16" x14ac:dyDescent="0.2">
      <c r="A19">
        <v>0</v>
      </c>
      <c r="B19" s="6" t="s">
        <v>66</v>
      </c>
      <c r="C19" s="10">
        <f t="shared" ref="C19:C36" si="2">_xlfn.BITAND(E$17,POWER(2,A19))/POWER(2,A19)</f>
        <v>1</v>
      </c>
      <c r="D19" s="10" t="str">
        <f>IF((C19&gt;0),"HIGH","")</f>
        <v>HIGH</v>
      </c>
    </row>
    <row r="20" spans="1:5" ht="16" x14ac:dyDescent="0.2">
      <c r="A20">
        <v>1</v>
      </c>
      <c r="B20" s="6" t="s">
        <v>67</v>
      </c>
      <c r="C20" s="10">
        <f t="shared" si="2"/>
        <v>1</v>
      </c>
      <c r="D20" s="10" t="str">
        <f t="shared" ref="D20:D36" si="3">IF((C20&gt;0),"HIGH","")</f>
        <v>HIGH</v>
      </c>
    </row>
    <row r="21" spans="1:5" ht="16" x14ac:dyDescent="0.2">
      <c r="A21">
        <v>2</v>
      </c>
      <c r="B21" s="6" t="s">
        <v>68</v>
      </c>
      <c r="C21" s="10">
        <f t="shared" si="2"/>
        <v>0</v>
      </c>
      <c r="D21" s="10" t="str">
        <f t="shared" si="3"/>
        <v/>
      </c>
    </row>
    <row r="22" spans="1:5" ht="16" x14ac:dyDescent="0.2">
      <c r="A22">
        <v>3</v>
      </c>
      <c r="B22" s="6" t="s">
        <v>69</v>
      </c>
      <c r="C22" s="10">
        <f t="shared" si="2"/>
        <v>0</v>
      </c>
      <c r="D22" s="10" t="str">
        <f t="shared" si="3"/>
        <v/>
      </c>
    </row>
    <row r="23" spans="1:5" ht="16" x14ac:dyDescent="0.2">
      <c r="A23">
        <v>4</v>
      </c>
      <c r="B23" s="6" t="s">
        <v>70</v>
      </c>
      <c r="C23" s="10">
        <f t="shared" si="2"/>
        <v>1</v>
      </c>
      <c r="D23" s="10" t="str">
        <f t="shared" si="3"/>
        <v>HIGH</v>
      </c>
    </row>
    <row r="24" spans="1:5" ht="16" x14ac:dyDescent="0.2">
      <c r="A24">
        <v>5</v>
      </c>
      <c r="B24" s="6" t="s">
        <v>71</v>
      </c>
      <c r="C24" s="10">
        <f t="shared" si="2"/>
        <v>0</v>
      </c>
      <c r="D24" s="10" t="str">
        <f t="shared" si="3"/>
        <v/>
      </c>
    </row>
    <row r="25" spans="1:5" ht="16" x14ac:dyDescent="0.2">
      <c r="A25">
        <v>6</v>
      </c>
      <c r="B25" s="6" t="s">
        <v>72</v>
      </c>
      <c r="C25" s="10">
        <f t="shared" si="2"/>
        <v>0</v>
      </c>
      <c r="D25" s="10" t="str">
        <f t="shared" si="3"/>
        <v/>
      </c>
    </row>
    <row r="26" spans="1:5" ht="16" x14ac:dyDescent="0.2">
      <c r="A26">
        <v>7</v>
      </c>
      <c r="B26" s="6" t="s">
        <v>73</v>
      </c>
      <c r="C26" s="10">
        <f t="shared" si="2"/>
        <v>0</v>
      </c>
      <c r="D26" s="10" t="str">
        <f t="shared" si="3"/>
        <v/>
      </c>
    </row>
    <row r="27" spans="1:5" ht="16" x14ac:dyDescent="0.2">
      <c r="A27">
        <v>8</v>
      </c>
      <c r="B27" s="6" t="s">
        <v>74</v>
      </c>
      <c r="C27" s="10">
        <f t="shared" si="2"/>
        <v>0</v>
      </c>
      <c r="D27" s="10" t="str">
        <f t="shared" si="3"/>
        <v/>
      </c>
    </row>
    <row r="28" spans="1:5" ht="16" x14ac:dyDescent="0.2">
      <c r="A28">
        <v>9</v>
      </c>
      <c r="B28" s="6" t="s">
        <v>75</v>
      </c>
      <c r="C28" s="10">
        <f t="shared" si="2"/>
        <v>0</v>
      </c>
      <c r="D28" s="10" t="str">
        <f t="shared" si="3"/>
        <v/>
      </c>
    </row>
    <row r="29" spans="1:5" ht="16" x14ac:dyDescent="0.2">
      <c r="A29">
        <v>10</v>
      </c>
      <c r="B29" s="6" t="s">
        <v>76</v>
      </c>
      <c r="C29" s="10">
        <f t="shared" si="2"/>
        <v>0</v>
      </c>
      <c r="D29" s="10" t="str">
        <f t="shared" si="3"/>
        <v/>
      </c>
    </row>
    <row r="30" spans="1:5" ht="16" x14ac:dyDescent="0.2">
      <c r="A30">
        <v>11</v>
      </c>
      <c r="B30" s="6" t="s">
        <v>77</v>
      </c>
      <c r="C30" s="10">
        <f t="shared" si="2"/>
        <v>0</v>
      </c>
      <c r="D30" s="10" t="str">
        <f t="shared" si="3"/>
        <v/>
      </c>
    </row>
    <row r="31" spans="1:5" ht="16" x14ac:dyDescent="0.2">
      <c r="A31">
        <v>12</v>
      </c>
      <c r="B31" s="6" t="s">
        <v>78</v>
      </c>
      <c r="C31" s="10">
        <f t="shared" si="2"/>
        <v>0</v>
      </c>
      <c r="D31" s="10" t="str">
        <f t="shared" si="3"/>
        <v/>
      </c>
    </row>
    <row r="32" spans="1:5" ht="16" x14ac:dyDescent="0.2">
      <c r="A32">
        <v>13</v>
      </c>
      <c r="B32" s="6" t="s">
        <v>79</v>
      </c>
      <c r="C32" s="10">
        <f t="shared" si="2"/>
        <v>0</v>
      </c>
      <c r="D32" s="10" t="str">
        <f t="shared" si="3"/>
        <v/>
      </c>
    </row>
    <row r="33" spans="1:4" ht="16" x14ac:dyDescent="0.2">
      <c r="A33">
        <v>14</v>
      </c>
      <c r="B33" s="6" t="s">
        <v>80</v>
      </c>
      <c r="C33" s="10">
        <f t="shared" si="2"/>
        <v>0</v>
      </c>
      <c r="D33" s="10" t="str">
        <f t="shared" si="3"/>
        <v/>
      </c>
    </row>
    <row r="34" spans="1:4" ht="16" x14ac:dyDescent="0.2">
      <c r="A34">
        <v>15</v>
      </c>
      <c r="B34" s="6" t="s">
        <v>81</v>
      </c>
      <c r="C34" s="10">
        <f t="shared" si="2"/>
        <v>1</v>
      </c>
      <c r="D34" s="10" t="str">
        <f t="shared" si="3"/>
        <v>HIGH</v>
      </c>
    </row>
    <row r="35" spans="1:4" ht="16" x14ac:dyDescent="0.2">
      <c r="A35">
        <v>16</v>
      </c>
      <c r="B35" s="6" t="s">
        <v>82</v>
      </c>
      <c r="C35" s="10">
        <f t="shared" si="2"/>
        <v>0</v>
      </c>
      <c r="D35" s="10" t="str">
        <f t="shared" si="3"/>
        <v/>
      </c>
    </row>
    <row r="36" spans="1:4" ht="16" x14ac:dyDescent="0.2">
      <c r="A36">
        <v>17</v>
      </c>
      <c r="B36" s="6" t="s">
        <v>83</v>
      </c>
      <c r="C36" s="10">
        <f t="shared" si="2"/>
        <v>0</v>
      </c>
      <c r="D36" s="10" t="str">
        <f t="shared" si="3"/>
        <v/>
      </c>
    </row>
    <row r="37" spans="1:4" ht="16" x14ac:dyDescent="0.2">
      <c r="B37" s="6"/>
      <c r="C37" s="6"/>
      <c r="D37" s="6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lncv</vt:lpstr>
      <vt:lpstr>HEX status</vt:lpstr>
      <vt:lpstr>lncv!Afdrukbereik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2021-11-15T20:53:35Z</dcterms:modified>
</cp:coreProperties>
</file>