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ocuments/git/ln2block/documentation/"/>
    </mc:Choice>
  </mc:AlternateContent>
  <xr:revisionPtr revIDLastSave="0" documentId="13_ncr:1_{C9E15029-E210-0745-9CE2-538D19DB8B80}" xr6:coauthVersionLast="47" xr6:coauthVersionMax="47" xr10:uidLastSave="{00000000-0000-0000-0000-000000000000}"/>
  <bookViews>
    <workbookView xWindow="10160" yWindow="2740" windowWidth="30800" windowHeight="18500" xr2:uid="{AB736944-4C1D-0647-892D-AD244D2AEA39}"/>
  </bookViews>
  <sheets>
    <sheet name="ln2b" sheetId="1" r:id="rId1"/>
    <sheet name="status" sheetId="2" r:id="rId2"/>
  </sheets>
  <definedNames>
    <definedName name="_xlnm.Print_Area" localSheetId="0">ln2b!$A$1:$D$46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" i="1" l="1"/>
  <c r="O11" i="1"/>
  <c r="N11" i="1"/>
  <c r="M11" i="1"/>
  <c r="L11" i="1"/>
  <c r="K11" i="1"/>
  <c r="J11" i="1"/>
  <c r="I11" i="1"/>
  <c r="H11" i="1"/>
  <c r="G11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H13" i="1"/>
  <c r="G13" i="1"/>
  <c r="H10" i="1"/>
  <c r="G10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P8" i="1"/>
  <c r="O8" i="1"/>
  <c r="N8" i="1"/>
  <c r="M8" i="1"/>
  <c r="L8" i="1"/>
  <c r="K8" i="1"/>
  <c r="J8" i="1"/>
  <c r="I8" i="1"/>
  <c r="H8" i="1"/>
  <c r="G8" i="1"/>
  <c r="D17" i="2"/>
  <c r="E17" i="2" s="1"/>
  <c r="C21" i="2" s="1"/>
  <c r="D3" i="2"/>
  <c r="E3" i="2" s="1"/>
  <c r="C13" i="2" s="1"/>
  <c r="D13" i="1"/>
  <c r="D6" i="1"/>
  <c r="C12" i="2" l="1"/>
  <c r="C11" i="2"/>
  <c r="C30" i="2"/>
  <c r="D30" i="2" s="1"/>
  <c r="C10" i="2"/>
  <c r="C29" i="2"/>
  <c r="C9" i="2"/>
  <c r="C28" i="2"/>
  <c r="D28" i="2" s="1"/>
  <c r="C8" i="2"/>
  <c r="C27" i="2"/>
  <c r="D27" i="2" s="1"/>
  <c r="C7" i="2"/>
  <c r="D7" i="2" s="1"/>
  <c r="C26" i="2"/>
  <c r="D26" i="2" s="1"/>
  <c r="C19" i="2"/>
  <c r="D19" i="2" s="1"/>
  <c r="C25" i="2"/>
  <c r="C36" i="2"/>
  <c r="C24" i="2"/>
  <c r="C31" i="2"/>
  <c r="D31" i="2" s="1"/>
  <c r="C5" i="2"/>
  <c r="D5" i="2" s="1"/>
  <c r="C35" i="2"/>
  <c r="D35" i="2" s="1"/>
  <c r="C23" i="2"/>
  <c r="C6" i="2"/>
  <c r="C34" i="2"/>
  <c r="C22" i="2"/>
  <c r="C14" i="2"/>
  <c r="D14" i="2" s="1"/>
  <c r="C33" i="2"/>
  <c r="D33" i="2" s="1"/>
  <c r="C32" i="2"/>
  <c r="C20" i="2"/>
  <c r="D10" i="1"/>
  <c r="D11" i="1"/>
  <c r="D12" i="1"/>
  <c r="D9" i="1"/>
  <c r="D8" i="1"/>
  <c r="D29" i="2"/>
  <c r="D25" i="2"/>
  <c r="D21" i="2"/>
  <c r="D24" i="2"/>
  <c r="D20" i="2"/>
  <c r="D36" i="2"/>
  <c r="D23" i="2"/>
  <c r="D34" i="2"/>
  <c r="D22" i="2"/>
  <c r="D32" i="2"/>
  <c r="D13" i="2"/>
  <c r="D11" i="2"/>
  <c r="D10" i="2"/>
  <c r="D9" i="2"/>
  <c r="D6" i="2"/>
  <c r="D12" i="2"/>
  <c r="D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8" authorId="0" shapeId="0" xr:uid="{78621782-8673-D04F-96F0-7107744DA320}">
      <text>
        <r>
          <rPr>
            <b/>
            <sz val="10"/>
            <color rgb="FF000000"/>
            <rFont val="Tahoma"/>
            <family val="2"/>
          </rPr>
          <t xml:space="preserve">Help:
</t>
        </r>
        <r>
          <rPr>
            <b/>
            <sz val="10"/>
            <color rgb="FF000000"/>
            <rFont val="Tahoma"/>
            <family val="2"/>
          </rPr>
          <t xml:space="preserve">1 = sensor. 0 = switch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" authorId="0" shapeId="0" xr:uid="{FABA0243-1DAA-274B-80D8-228D3FA7CF33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16" authorId="0" shapeId="0" xr:uid="{60F1E4BD-7FA6-8B49-BA36-A87B76D46BB8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16" authorId="0" shapeId="0" xr:uid="{C968B895-5B9E-2843-848D-3B38877F8A3C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28" authorId="0" shapeId="0" xr:uid="{079B8D4F-F627-2C4E-9745-201C6824EB8C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28" authorId="0" shapeId="0" xr:uid="{B739DEBA-289C-E749-BA41-C61C44F721BA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<sst xmlns="http://schemas.openxmlformats.org/spreadsheetml/2006/main" count="167" uniqueCount="103">
  <si>
    <t>LNCV Values for LN2Block</t>
  </si>
  <si>
    <t>LNCV</t>
  </si>
  <si>
    <t>VALUE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</si>
  <si>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</si>
  <si>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</si>
  <si>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</si>
  <si>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</si>
  <si>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</si>
  <si>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</si>
  <si>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</si>
  <si>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</si>
  <si>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</si>
  <si>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GERAEUMT_NACH_5_SEC</t>
  </si>
  <si>
    <t>LNCV_ADR_CONFIGURATION</t>
  </si>
  <si>
    <t>LNCV_ADR_CONFIG_RECEIVE</t>
  </si>
  <si>
    <t>LNCV_ADR_CONFIG_SEND_LOW</t>
  </si>
  <si>
    <t>LNCV_ADR_CONFIG_SEND_HIGH</t>
  </si>
  <si>
    <t>LNCV_ADR_INVERT_RECEIVE</t>
  </si>
  <si>
    <t>LNCV_ADR_INVERT_SEND_LOW</t>
  </si>
  <si>
    <t>LNCV_ADR_INVERT_SEND_HIGH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</si>
  <si>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</si>
  <si>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</si>
  <si>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</si>
  <si>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</si>
  <si>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</si>
  <si>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</si>
  <si>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</si>
  <si>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</si>
  <si>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</si>
  <si>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</si>
  <si>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</si>
  <si>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</si>
  <si>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</si>
  <si>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</si>
  <si>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</si>
  <si>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</si>
  <si>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</si>
  <si>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</si>
  <si>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</si>
  <si>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</si>
  <si>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</si>
  <si>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</si>
  <si>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</si>
  <si>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</si>
  <si>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</si>
  <si>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</si>
  <si>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</si>
  <si>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</si>
  <si>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</si>
  <si>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</si>
  <si>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</si>
  <si>
    <t>default</t>
  </si>
  <si>
    <t>LN2Block Status messages</t>
  </si>
  <si>
    <t>INPUT</t>
  </si>
  <si>
    <t>EINFAHR_SIGNAL</t>
  </si>
  <si>
    <t>AUSFAHR_SIGNAL</t>
  </si>
  <si>
    <t>EINFAHR_KONTAKT</t>
  </si>
  <si>
    <t>AUSFAHR_KONTAKT</t>
  </si>
  <si>
    <t>BEDIENUNG_RUECKBLOCK</t>
  </si>
  <si>
    <t>BEDIENUNG_HILFSVORBLOCK</t>
  </si>
  <si>
    <t>BEDIENUNG_ERLAUBNISABGABE</t>
  </si>
  <si>
    <t>BEDIENUNG_ANSCHALTER_EIN</t>
  </si>
  <si>
    <t>BEDIENUNG_ANSCHALTER_AUS</t>
  </si>
  <si>
    <t>KEY_RELEASED</t>
  </si>
  <si>
    <t>x011F</t>
  </si>
  <si>
    <t>OUTPUT</t>
  </si>
  <si>
    <t>FAHRT_MOEGLICH</t>
  </si>
  <si>
    <t>NICHT_ZWANGSHALT</t>
  </si>
  <si>
    <t>ERLAUBNISWECHSELSPERRE</t>
  </si>
  <si>
    <t>PRUEFSCHLEIFE</t>
  </si>
  <si>
    <t>SCHLUESSELENTNAHME_MOEGLICH</t>
  </si>
  <si>
    <t>AUSFAHRSPERRMELDER_TF71</t>
  </si>
  <si>
    <t>BLOCKMELDER_TF71</t>
  </si>
  <si>
    <t>WIEDERHOLSPERRMELDER_RELAISBLOCK</t>
  </si>
  <si>
    <t>VORBLOCKMELDER_RELAISBLOCK</t>
  </si>
  <si>
    <t>RUECKBLOCKMELDER_RELAISBLOCK</t>
  </si>
  <si>
    <t>MELDER_ANSCHALTER</t>
  </si>
  <si>
    <t>MELDER_ERSTE_ACHSE</t>
  </si>
  <si>
    <t>MELDER_GERAEUMT</t>
  </si>
  <si>
    <t>MELDER_GERAEUMT_BLINKEN</t>
  </si>
  <si>
    <t>UEBERTRAGUNGSSTOERUNG</t>
  </si>
  <si>
    <t>MELDER_ERLAUBNIS_ERHALTEN</t>
  </si>
  <si>
    <t>MELDER_ERLAUBNIS_ABGEGEBEN</t>
  </si>
  <si>
    <t>HUPE</t>
  </si>
  <si>
    <t>x00008013</t>
  </si>
  <si>
    <t>INVERT?</t>
  </si>
  <si>
    <t>SENSOR/SWITCH</t>
  </si>
  <si>
    <t>IN/OUT</t>
  </si>
  <si>
    <t>grey fields are calculated from below</t>
  </si>
  <si>
    <t>=HEX</t>
  </si>
  <si>
    <t>=DEC</t>
  </si>
  <si>
    <t>address  for IN messages</t>
  </si>
  <si>
    <t>address  for OUT messages</t>
  </si>
  <si>
    <t>Wat do the messages mean?</t>
  </si>
  <si>
    <t>#</t>
  </si>
  <si>
    <t>x</t>
  </si>
  <si>
    <t>TF71</t>
  </si>
  <si>
    <t>RB</t>
  </si>
  <si>
    <t>RB-OST</t>
  </si>
  <si>
    <t>FB</t>
  </si>
  <si>
    <t>X</t>
  </si>
  <si>
    <t xml:space="preserve">LNCV_ADR_SEND_DELAY	</t>
  </si>
  <si>
    <t>min =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</si>
</sst>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00"/>
      <name val="Arial"/>
      <family val="2"/>
    </font>
    <font>
      <sz val="6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b/>
      <sz val="1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0" fillId="2" borderId="0" xfId="0" applyFill="1"/>
    <xf numFmtId="0" fontId="0" fillId="0" borderId="1" xfId="0" applyBorder="1"/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0" borderId="1" xfId="0" quotePrefix="1" applyFont="1" applyBorder="1"/>
    <xf numFmtId="0" fontId="9" fillId="0" borderId="0" xfId="0" applyFont="1" applyAlignment="1">
      <alignment horizontal="center"/>
    </xf>
    <xf numFmtId="0" fontId="9" fillId="0" borderId="0" xfId="0" quotePrefix="1" applyFont="1" applyBorder="1"/>
    <xf numFmtId="0" fontId="12" fillId="0" borderId="0" xfId="0" applyFont="1"/>
    <xf numFmtId="0" fontId="12" fillId="0" borderId="0" xfId="0" quotePrefix="1" applyFont="1"/>
    <xf numFmtId="0" fontId="0" fillId="0" borderId="0" xfId="0" applyAlignment="1">
      <alignment textRotation="90"/>
    </xf>
    <xf numFmtId="0" fontId="2" fillId="0" borderId="0" xfId="0" applyFont="1" applyAlignment="1">
      <alignment textRotation="90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>
    <pageSetUpPr fitToPage="1"/>
  </sheetPr>
  <dimension ref="A1:X46"/>
  <sheetViews>
    <sheetView tabSelected="1" zoomScale="140" zoomScaleNormal="140" workbookViewId="0">
      <selection activeCell="E15" sqref="E15"/>
    </sheetView>
  </sheetViews>
  <sheetFormatPr baseColWidth="10" defaultRowHeight="13" x14ac:dyDescent="0.15"/>
  <cols>
    <col min="2" max="2" width="54.83203125" bestFit="1" customWidth="1"/>
    <col min="5" max="5" width="15.33203125" bestFit="1" customWidth="1"/>
    <col min="6" max="6" width="8.33203125" bestFit="1" customWidth="1"/>
    <col min="7" max="16" width="2.1640625" bestFit="1" customWidth="1"/>
    <col min="17" max="23" width="3.1640625" bestFit="1" customWidth="1"/>
  </cols>
  <sheetData>
    <row r="1" spans="1:24" x14ac:dyDescent="0.15">
      <c r="B1" t="s">
        <v>50</v>
      </c>
      <c r="C1" s="6"/>
    </row>
    <row r="2" spans="1:24" x14ac:dyDescent="0.15">
      <c r="B2" s="1" t="s">
        <v>0</v>
      </c>
      <c r="C2" s="1" t="s">
        <v>1</v>
      </c>
      <c r="D2" s="1" t="s">
        <v>2</v>
      </c>
      <c r="E2" s="1"/>
      <c r="F2" s="1"/>
    </row>
    <row r="3" spans="1:24" x14ac:dyDescent="0.15">
      <c r="A3" s="2" t="s">
        <v>4</v>
      </c>
      <c r="B3" t="s">
        <v>3</v>
      </c>
      <c r="C3">
        <v>0</v>
      </c>
      <c r="D3" s="8">
        <v>0</v>
      </c>
    </row>
    <row r="4" spans="1:24" x14ac:dyDescent="0.15">
      <c r="A4" s="2" t="s">
        <v>4</v>
      </c>
      <c r="B4" t="s">
        <v>5</v>
      </c>
      <c r="C4">
        <v>1</v>
      </c>
      <c r="D4" s="8">
        <v>1510</v>
      </c>
    </row>
    <row r="5" spans="1:24" ht="198" x14ac:dyDescent="0.15">
      <c r="A5" s="2"/>
      <c r="C5" s="1" t="s">
        <v>1</v>
      </c>
      <c r="D5" s="1" t="s">
        <v>2</v>
      </c>
      <c r="E5" s="1"/>
      <c r="F5" s="1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/>
      <c r="N5" s="3"/>
      <c r="O5" s="3"/>
      <c r="P5" s="3"/>
      <c r="Q5" s="3"/>
      <c r="R5" s="3"/>
      <c r="S5" s="3"/>
      <c r="T5" s="3"/>
      <c r="U5" s="3"/>
      <c r="V5" s="4"/>
      <c r="W5" s="4"/>
    </row>
    <row r="6" spans="1:24" x14ac:dyDescent="0.15">
      <c r="A6" s="2" t="s">
        <v>4</v>
      </c>
      <c r="B6" t="s">
        <v>13</v>
      </c>
      <c r="C6">
        <v>2</v>
      </c>
      <c r="D6" s="8">
        <f>G6+2*H6+4*I6+8*J6+16*K6+32*L6+64*M6+128*N6+256*O6+512*P6+1024*Q6+2048*R6+4096*S6+8192*T6+16384*U6+32768*V6</f>
        <v>8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</row>
    <row r="7" spans="1:24" ht="40" customHeight="1" x14ac:dyDescent="0.15">
      <c r="A7" s="2"/>
      <c r="C7" t="s">
        <v>95</v>
      </c>
      <c r="E7" s="1"/>
      <c r="F7" s="1" t="s">
        <v>6</v>
      </c>
      <c r="G7">
        <v>0</v>
      </c>
      <c r="H7">
        <v>1</v>
      </c>
      <c r="I7">
        <v>2</v>
      </c>
      <c r="J7">
        <v>3</v>
      </c>
      <c r="K7">
        <v>4</v>
      </c>
      <c r="L7">
        <v>5</v>
      </c>
      <c r="M7">
        <v>6</v>
      </c>
      <c r="N7">
        <v>7</v>
      </c>
      <c r="O7">
        <v>8</v>
      </c>
      <c r="P7">
        <v>9</v>
      </c>
      <c r="Q7">
        <v>10</v>
      </c>
      <c r="R7">
        <v>11</v>
      </c>
      <c r="S7">
        <v>12</v>
      </c>
      <c r="T7">
        <v>13</v>
      </c>
      <c r="U7">
        <v>14</v>
      </c>
      <c r="V7">
        <v>15</v>
      </c>
      <c r="X7" t="s">
        <v>51</v>
      </c>
    </row>
    <row r="8" spans="1:24" x14ac:dyDescent="0.15">
      <c r="A8" s="2" t="s">
        <v>4</v>
      </c>
      <c r="B8" t="s">
        <v>14</v>
      </c>
      <c r="C8">
        <v>3</v>
      </c>
      <c r="D8" s="8">
        <f t="shared" ref="D8:D13" si="0">G8+2*H8+4*I8+8*J8+16*K8+32*L8+64*M8+128*N8+256*O8+512*P8+1024*Q8+2048*R8+4096*S8+8192*T8+16384*U8+32768*V8</f>
        <v>12</v>
      </c>
      <c r="F8" s="8"/>
      <c r="G8" s="5">
        <f>E17</f>
        <v>0</v>
      </c>
      <c r="H8" s="5">
        <f>E18</f>
        <v>0</v>
      </c>
      <c r="I8" s="5">
        <f>E19</f>
        <v>1</v>
      </c>
      <c r="J8" s="5">
        <f>E20</f>
        <v>1</v>
      </c>
      <c r="K8" s="5">
        <f>E21</f>
        <v>0</v>
      </c>
      <c r="L8" s="5">
        <f>E22</f>
        <v>0</v>
      </c>
      <c r="M8" s="5">
        <f>E23</f>
        <v>0</v>
      </c>
      <c r="N8" s="5">
        <f>E24</f>
        <v>0</v>
      </c>
      <c r="O8" s="5">
        <f>E25</f>
        <v>0</v>
      </c>
      <c r="P8" s="5">
        <f>E26</f>
        <v>0</v>
      </c>
      <c r="X8">
        <v>12</v>
      </c>
    </row>
    <row r="9" spans="1:24" x14ac:dyDescent="0.15">
      <c r="A9" s="2" t="s">
        <v>4</v>
      </c>
      <c r="B9" t="s">
        <v>15</v>
      </c>
      <c r="C9">
        <v>4</v>
      </c>
      <c r="D9" s="8">
        <f t="shared" si="0"/>
        <v>0</v>
      </c>
      <c r="F9" s="8"/>
      <c r="G9" s="5">
        <f>E29</f>
        <v>0</v>
      </c>
      <c r="H9" s="5">
        <f>E30</f>
        <v>0</v>
      </c>
      <c r="I9" s="5">
        <f>E31</f>
        <v>0</v>
      </c>
      <c r="J9" s="5">
        <f>E32</f>
        <v>0</v>
      </c>
      <c r="K9" s="5">
        <f>E33</f>
        <v>0</v>
      </c>
      <c r="L9" s="5">
        <f>E34</f>
        <v>0</v>
      </c>
      <c r="M9" s="5">
        <f>E35</f>
        <v>0</v>
      </c>
      <c r="N9" s="5">
        <f>E36</f>
        <v>0</v>
      </c>
      <c r="O9" s="5">
        <f>E37</f>
        <v>0</v>
      </c>
      <c r="P9" s="5">
        <f>E38</f>
        <v>0</v>
      </c>
      <c r="Q9" s="5">
        <f>E39</f>
        <v>0</v>
      </c>
      <c r="R9" s="5">
        <f>E40</f>
        <v>0</v>
      </c>
      <c r="S9" s="5">
        <f>E41</f>
        <v>0</v>
      </c>
      <c r="T9" s="5">
        <f>E42</f>
        <v>0</v>
      </c>
      <c r="U9" s="5">
        <f>E43</f>
        <v>0</v>
      </c>
      <c r="V9" s="5">
        <f>E44</f>
        <v>0</v>
      </c>
      <c r="X9">
        <v>0</v>
      </c>
    </row>
    <row r="10" spans="1:24" x14ac:dyDescent="0.15">
      <c r="A10" s="2" t="s">
        <v>4</v>
      </c>
      <c r="B10" t="s">
        <v>16</v>
      </c>
      <c r="C10">
        <v>5</v>
      </c>
      <c r="D10" s="8">
        <f t="shared" si="0"/>
        <v>0</v>
      </c>
      <c r="F10" s="8"/>
      <c r="G10" s="5">
        <f>E45</f>
        <v>0</v>
      </c>
      <c r="H10" s="5">
        <f>E46</f>
        <v>0</v>
      </c>
      <c r="X10">
        <v>0</v>
      </c>
    </row>
    <row r="11" spans="1:24" x14ac:dyDescent="0.15">
      <c r="A11" s="2" t="s">
        <v>4</v>
      </c>
      <c r="B11" t="s">
        <v>17</v>
      </c>
      <c r="C11">
        <v>6</v>
      </c>
      <c r="D11" s="8">
        <f t="shared" si="0"/>
        <v>0</v>
      </c>
      <c r="F11" s="8"/>
      <c r="G11" s="5">
        <f>F17</f>
        <v>0</v>
      </c>
      <c r="H11" s="5">
        <f>F18</f>
        <v>0</v>
      </c>
      <c r="I11" s="5">
        <f>F19</f>
        <v>0</v>
      </c>
      <c r="J11" s="5">
        <f>F20</f>
        <v>0</v>
      </c>
      <c r="K11" s="5">
        <f>F21</f>
        <v>0</v>
      </c>
      <c r="L11" s="5">
        <f>F22</f>
        <v>0</v>
      </c>
      <c r="M11" s="5">
        <f>F23</f>
        <v>0</v>
      </c>
      <c r="N11" s="5">
        <f>F24</f>
        <v>0</v>
      </c>
      <c r="O11" s="5">
        <f>F25</f>
        <v>0</v>
      </c>
      <c r="P11" s="5">
        <f>F26</f>
        <v>0</v>
      </c>
      <c r="X11">
        <v>0</v>
      </c>
    </row>
    <row r="12" spans="1:24" x14ac:dyDescent="0.15">
      <c r="A12" s="2" t="s">
        <v>4</v>
      </c>
      <c r="B12" t="s">
        <v>18</v>
      </c>
      <c r="C12">
        <v>7</v>
      </c>
      <c r="D12" s="8">
        <f t="shared" si="0"/>
        <v>0</v>
      </c>
      <c r="F12" s="8"/>
      <c r="G12" s="5">
        <f>F29</f>
        <v>0</v>
      </c>
      <c r="H12" s="5">
        <f>F30</f>
        <v>0</v>
      </c>
      <c r="I12" s="5">
        <f>F31</f>
        <v>0</v>
      </c>
      <c r="J12" s="5">
        <f>F32</f>
        <v>0</v>
      </c>
      <c r="K12" s="5">
        <f>F33</f>
        <v>0</v>
      </c>
      <c r="L12" s="5">
        <f>F34</f>
        <v>0</v>
      </c>
      <c r="M12" s="5">
        <f>F35</f>
        <v>0</v>
      </c>
      <c r="N12" s="5">
        <f>F36</f>
        <v>0</v>
      </c>
      <c r="O12" s="5">
        <f>F37</f>
        <v>0</v>
      </c>
      <c r="P12" s="5">
        <f>F38</f>
        <v>0</v>
      </c>
      <c r="Q12" s="5">
        <f>F39</f>
        <v>0</v>
      </c>
      <c r="R12" s="5">
        <f>F40</f>
        <v>0</v>
      </c>
      <c r="S12" s="5">
        <f>F41</f>
        <v>0</v>
      </c>
      <c r="T12" s="5">
        <f>F42</f>
        <v>0</v>
      </c>
      <c r="U12" s="5">
        <f>F43</f>
        <v>0</v>
      </c>
      <c r="V12" s="5">
        <f>F44</f>
        <v>0</v>
      </c>
      <c r="X12">
        <v>0</v>
      </c>
    </row>
    <row r="13" spans="1:24" x14ac:dyDescent="0.15">
      <c r="A13" s="2" t="s">
        <v>4</v>
      </c>
      <c r="B13" t="s">
        <v>19</v>
      </c>
      <c r="C13">
        <v>8</v>
      </c>
      <c r="D13" s="8">
        <f t="shared" si="0"/>
        <v>0</v>
      </c>
      <c r="F13" s="8"/>
      <c r="G13" s="5">
        <f>F45</f>
        <v>0</v>
      </c>
      <c r="H13" s="5">
        <f>F46</f>
        <v>0</v>
      </c>
      <c r="X13">
        <v>0</v>
      </c>
    </row>
    <row r="14" spans="1:24" x14ac:dyDescent="0.15">
      <c r="A14" s="2" t="s">
        <v>4</v>
      </c>
      <c r="B14" t="s">
        <v>101</v>
      </c>
      <c r="C14">
        <v>9</v>
      </c>
      <c r="D14" s="8">
        <v>10</v>
      </c>
      <c r="E14" t="s">
        <v>102</v>
      </c>
    </row>
    <row r="15" spans="1:24" x14ac:dyDescent="0.15">
      <c r="C15" t="s">
        <v>95</v>
      </c>
      <c r="G15" s="2" t="s">
        <v>88</v>
      </c>
    </row>
    <row r="16" spans="1:24" x14ac:dyDescent="0.15">
      <c r="A16" s="1" t="s">
        <v>87</v>
      </c>
      <c r="B16" s="1" t="s">
        <v>91</v>
      </c>
      <c r="C16" t="s">
        <v>95</v>
      </c>
      <c r="D16" s="1" t="s">
        <v>2</v>
      </c>
      <c r="E16" s="1" t="s">
        <v>86</v>
      </c>
      <c r="F16" s="1" t="s">
        <v>85</v>
      </c>
    </row>
    <row r="17" spans="1:11" x14ac:dyDescent="0.15">
      <c r="A17" s="2" t="s">
        <v>21</v>
      </c>
      <c r="B17" s="2" t="s">
        <v>20</v>
      </c>
      <c r="C17">
        <v>10</v>
      </c>
      <c r="D17" s="8">
        <v>110</v>
      </c>
      <c r="E17" s="8">
        <v>0</v>
      </c>
      <c r="F17" s="8">
        <v>0</v>
      </c>
    </row>
    <row r="18" spans="1:11" x14ac:dyDescent="0.15">
      <c r="A18" s="2" t="s">
        <v>21</v>
      </c>
      <c r="B18" s="2" t="s">
        <v>22</v>
      </c>
      <c r="C18">
        <v>11</v>
      </c>
      <c r="D18" s="8">
        <v>111</v>
      </c>
      <c r="E18" s="8">
        <v>0</v>
      </c>
      <c r="F18" s="8">
        <v>0</v>
      </c>
    </row>
    <row r="19" spans="1:11" x14ac:dyDescent="0.15">
      <c r="A19" s="2" t="s">
        <v>21</v>
      </c>
      <c r="B19" t="s">
        <v>23</v>
      </c>
      <c r="C19">
        <v>12</v>
      </c>
      <c r="D19" s="8">
        <v>112</v>
      </c>
      <c r="E19" s="8">
        <v>1</v>
      </c>
      <c r="F19" s="8">
        <v>0</v>
      </c>
    </row>
    <row r="20" spans="1:11" x14ac:dyDescent="0.15">
      <c r="A20" s="2" t="s">
        <v>21</v>
      </c>
      <c r="B20" t="s">
        <v>24</v>
      </c>
      <c r="C20">
        <v>13</v>
      </c>
      <c r="D20" s="8">
        <v>113</v>
      </c>
      <c r="E20" s="8">
        <v>1</v>
      </c>
      <c r="F20" s="8">
        <v>0</v>
      </c>
    </row>
    <row r="21" spans="1:11" x14ac:dyDescent="0.15">
      <c r="A21" s="2" t="s">
        <v>21</v>
      </c>
      <c r="B21" t="s">
        <v>25</v>
      </c>
      <c r="C21">
        <v>14</v>
      </c>
      <c r="D21" s="8">
        <v>114</v>
      </c>
      <c r="E21" s="8">
        <v>0</v>
      </c>
      <c r="F21" s="8">
        <v>0</v>
      </c>
    </row>
    <row r="22" spans="1:11" x14ac:dyDescent="0.15">
      <c r="A22" s="2" t="s">
        <v>21</v>
      </c>
      <c r="B22" t="s">
        <v>26</v>
      </c>
      <c r="C22">
        <v>15</v>
      </c>
      <c r="D22" s="8">
        <v>115</v>
      </c>
      <c r="E22" s="8">
        <v>0</v>
      </c>
      <c r="F22" s="8">
        <v>0</v>
      </c>
    </row>
    <row r="23" spans="1:11" x14ac:dyDescent="0.15">
      <c r="A23" s="2" t="s">
        <v>21</v>
      </c>
      <c r="B23" t="s">
        <v>27</v>
      </c>
      <c r="C23">
        <v>16</v>
      </c>
      <c r="D23" s="8">
        <v>116</v>
      </c>
      <c r="E23" s="8">
        <v>0</v>
      </c>
      <c r="F23" s="8">
        <v>0</v>
      </c>
    </row>
    <row r="24" spans="1:11" x14ac:dyDescent="0.15">
      <c r="A24" s="2" t="s">
        <v>21</v>
      </c>
      <c r="B24" t="s">
        <v>28</v>
      </c>
      <c r="C24">
        <v>17</v>
      </c>
      <c r="D24" s="8">
        <v>117</v>
      </c>
      <c r="E24" s="8">
        <v>0</v>
      </c>
      <c r="F24" s="8">
        <v>0</v>
      </c>
    </row>
    <row r="25" spans="1:11" x14ac:dyDescent="0.15">
      <c r="A25" s="2" t="s">
        <v>21</v>
      </c>
      <c r="B25" t="s">
        <v>29</v>
      </c>
      <c r="C25">
        <v>18</v>
      </c>
      <c r="D25" s="8">
        <v>118</v>
      </c>
      <c r="E25" s="8">
        <v>0</v>
      </c>
      <c r="F25" s="8">
        <v>0</v>
      </c>
    </row>
    <row r="26" spans="1:11" x14ac:dyDescent="0.15">
      <c r="A26" s="2" t="s">
        <v>21</v>
      </c>
      <c r="B26" t="s">
        <v>30</v>
      </c>
      <c r="C26">
        <v>19</v>
      </c>
      <c r="D26" s="8">
        <v>119</v>
      </c>
      <c r="E26" s="8">
        <v>0</v>
      </c>
      <c r="F26" s="8">
        <v>0</v>
      </c>
    </row>
    <row r="27" spans="1:11" x14ac:dyDescent="0.15">
      <c r="C27" t="s">
        <v>95</v>
      </c>
      <c r="H27" s="15"/>
    </row>
    <row r="28" spans="1:11" ht="45" x14ac:dyDescent="0.15">
      <c r="A28" s="1" t="s">
        <v>87</v>
      </c>
      <c r="B28" s="1" t="s">
        <v>92</v>
      </c>
      <c r="C28" t="s">
        <v>95</v>
      </c>
      <c r="D28" s="1" t="s">
        <v>2</v>
      </c>
      <c r="E28" s="1" t="s">
        <v>86</v>
      </c>
      <c r="F28" s="1" t="s">
        <v>85</v>
      </c>
      <c r="H28" s="16" t="s">
        <v>96</v>
      </c>
      <c r="I28" s="16" t="s">
        <v>97</v>
      </c>
      <c r="J28" s="16" t="s">
        <v>98</v>
      </c>
      <c r="K28" s="16" t="s">
        <v>99</v>
      </c>
    </row>
    <row r="29" spans="1:11" x14ac:dyDescent="0.15">
      <c r="A29" s="2" t="s">
        <v>32</v>
      </c>
      <c r="B29" t="s">
        <v>31</v>
      </c>
      <c r="C29">
        <v>20</v>
      </c>
      <c r="D29" s="8">
        <v>220</v>
      </c>
      <c r="E29" s="8">
        <v>0</v>
      </c>
      <c r="F29" s="8">
        <v>0</v>
      </c>
    </row>
    <row r="30" spans="1:11" x14ac:dyDescent="0.15">
      <c r="A30" s="2" t="s">
        <v>32</v>
      </c>
      <c r="B30" t="s">
        <v>33</v>
      </c>
      <c r="C30">
        <v>21</v>
      </c>
      <c r="D30" s="8">
        <v>221</v>
      </c>
      <c r="E30" s="8">
        <v>0</v>
      </c>
      <c r="F30" s="8">
        <v>0</v>
      </c>
    </row>
    <row r="31" spans="1:11" x14ac:dyDescent="0.15">
      <c r="A31" s="2" t="s">
        <v>32</v>
      </c>
      <c r="B31" t="s">
        <v>34</v>
      </c>
      <c r="C31">
        <v>22</v>
      </c>
      <c r="D31" s="8">
        <v>222</v>
      </c>
      <c r="E31" s="8">
        <v>0</v>
      </c>
      <c r="F31" s="8">
        <v>0</v>
      </c>
    </row>
    <row r="32" spans="1:11" x14ac:dyDescent="0.15">
      <c r="A32" s="2" t="s">
        <v>32</v>
      </c>
      <c r="B32" t="s">
        <v>35</v>
      </c>
      <c r="C32">
        <v>23</v>
      </c>
      <c r="D32" s="8">
        <v>223</v>
      </c>
      <c r="E32" s="8">
        <v>0</v>
      </c>
      <c r="F32" s="8">
        <v>0</v>
      </c>
    </row>
    <row r="33" spans="1:10" x14ac:dyDescent="0.15">
      <c r="A33" s="2" t="s">
        <v>32</v>
      </c>
      <c r="B33" t="s">
        <v>36</v>
      </c>
      <c r="C33">
        <v>24</v>
      </c>
      <c r="D33" s="8">
        <v>224</v>
      </c>
      <c r="E33" s="8">
        <v>0</v>
      </c>
      <c r="F33" s="8">
        <v>0</v>
      </c>
    </row>
    <row r="34" spans="1:10" x14ac:dyDescent="0.15">
      <c r="A34" s="2" t="s">
        <v>32</v>
      </c>
      <c r="B34" t="s">
        <v>37</v>
      </c>
      <c r="C34">
        <v>25</v>
      </c>
      <c r="D34" s="8">
        <v>225</v>
      </c>
      <c r="E34" s="8">
        <v>0</v>
      </c>
      <c r="F34" s="8">
        <v>0</v>
      </c>
      <c r="H34" t="s">
        <v>100</v>
      </c>
    </row>
    <row r="35" spans="1:10" x14ac:dyDescent="0.15">
      <c r="A35" s="2" t="s">
        <v>32</v>
      </c>
      <c r="B35" s="2" t="s">
        <v>38</v>
      </c>
      <c r="C35">
        <v>26</v>
      </c>
      <c r="D35" s="8">
        <v>226</v>
      </c>
      <c r="E35" s="8">
        <v>0</v>
      </c>
      <c r="F35" s="8">
        <v>0</v>
      </c>
      <c r="H35" t="s">
        <v>100</v>
      </c>
    </row>
    <row r="36" spans="1:10" x14ac:dyDescent="0.15">
      <c r="A36" s="2" t="s">
        <v>32</v>
      </c>
      <c r="B36" t="s">
        <v>39</v>
      </c>
      <c r="C36">
        <v>27</v>
      </c>
      <c r="D36" s="8">
        <v>227</v>
      </c>
      <c r="E36" s="8">
        <v>0</v>
      </c>
      <c r="F36" s="8">
        <v>0</v>
      </c>
      <c r="I36" t="s">
        <v>100</v>
      </c>
      <c r="J36" t="s">
        <v>100</v>
      </c>
    </row>
    <row r="37" spans="1:10" x14ac:dyDescent="0.15">
      <c r="A37" s="2" t="s">
        <v>32</v>
      </c>
      <c r="B37" t="s">
        <v>40</v>
      </c>
      <c r="C37">
        <v>28</v>
      </c>
      <c r="D37" s="8">
        <v>228</v>
      </c>
      <c r="E37" s="8">
        <v>0</v>
      </c>
      <c r="F37" s="8">
        <v>0</v>
      </c>
      <c r="I37" t="s">
        <v>100</v>
      </c>
      <c r="J37" t="s">
        <v>100</v>
      </c>
    </row>
    <row r="38" spans="1:10" x14ac:dyDescent="0.15">
      <c r="A38" s="2" t="s">
        <v>32</v>
      </c>
      <c r="B38" t="s">
        <v>41</v>
      </c>
      <c r="C38">
        <v>29</v>
      </c>
      <c r="D38" s="8">
        <v>229</v>
      </c>
      <c r="E38" s="8">
        <v>0</v>
      </c>
      <c r="F38" s="8">
        <v>0</v>
      </c>
      <c r="I38" t="s">
        <v>100</v>
      </c>
      <c r="J38" t="s">
        <v>100</v>
      </c>
    </row>
    <row r="39" spans="1:10" x14ac:dyDescent="0.15">
      <c r="A39" s="2" t="s">
        <v>32</v>
      </c>
      <c r="B39" t="s">
        <v>42</v>
      </c>
      <c r="C39">
        <v>30</v>
      </c>
      <c r="D39" s="8">
        <v>230</v>
      </c>
      <c r="E39" s="8">
        <v>0</v>
      </c>
      <c r="F39" s="8">
        <v>0</v>
      </c>
      <c r="I39" t="s">
        <v>100</v>
      </c>
      <c r="J39" t="s">
        <v>100</v>
      </c>
    </row>
    <row r="40" spans="1:10" x14ac:dyDescent="0.15">
      <c r="A40" s="2" t="s">
        <v>32</v>
      </c>
      <c r="B40" t="s">
        <v>43</v>
      </c>
      <c r="C40">
        <v>31</v>
      </c>
      <c r="D40" s="8">
        <v>231</v>
      </c>
      <c r="E40" s="8">
        <v>0</v>
      </c>
      <c r="F40" s="8">
        <v>0</v>
      </c>
      <c r="J40" t="s">
        <v>100</v>
      </c>
    </row>
    <row r="41" spans="1:10" x14ac:dyDescent="0.15">
      <c r="A41" s="2" t="s">
        <v>32</v>
      </c>
      <c r="B41" t="s">
        <v>44</v>
      </c>
      <c r="C41">
        <v>32</v>
      </c>
      <c r="D41" s="8">
        <v>232</v>
      </c>
      <c r="E41" s="8">
        <v>0</v>
      </c>
      <c r="F41" s="8">
        <v>0</v>
      </c>
      <c r="J41" t="s">
        <v>100</v>
      </c>
    </row>
    <row r="42" spans="1:10" x14ac:dyDescent="0.15">
      <c r="A42" s="2" t="s">
        <v>32</v>
      </c>
      <c r="B42" t="s">
        <v>45</v>
      </c>
      <c r="C42">
        <v>33</v>
      </c>
      <c r="D42" s="8">
        <v>233</v>
      </c>
      <c r="E42" s="8">
        <v>0</v>
      </c>
      <c r="F42" s="8">
        <v>0</v>
      </c>
      <c r="I42" t="s">
        <v>100</v>
      </c>
    </row>
    <row r="43" spans="1:10" x14ac:dyDescent="0.15">
      <c r="A43" s="2" t="s">
        <v>32</v>
      </c>
      <c r="B43" t="s">
        <v>46</v>
      </c>
      <c r="C43">
        <v>34</v>
      </c>
      <c r="D43" s="8">
        <v>234</v>
      </c>
      <c r="E43" s="8">
        <v>0</v>
      </c>
      <c r="F43" s="8">
        <v>0</v>
      </c>
    </row>
    <row r="44" spans="1:10" x14ac:dyDescent="0.15">
      <c r="A44" s="2" t="s">
        <v>32</v>
      </c>
      <c r="B44" t="s">
        <v>47</v>
      </c>
      <c r="C44">
        <v>35</v>
      </c>
      <c r="D44" s="8">
        <v>235</v>
      </c>
      <c r="E44" s="8">
        <v>0</v>
      </c>
      <c r="F44" s="8">
        <v>0</v>
      </c>
      <c r="H44" t="s">
        <v>100</v>
      </c>
    </row>
    <row r="45" spans="1:10" x14ac:dyDescent="0.15">
      <c r="A45" s="2" t="s">
        <v>32</v>
      </c>
      <c r="B45" t="s">
        <v>48</v>
      </c>
      <c r="C45">
        <v>36</v>
      </c>
      <c r="D45" s="8">
        <v>236</v>
      </c>
      <c r="E45" s="8">
        <v>0</v>
      </c>
      <c r="F45" s="8">
        <v>0</v>
      </c>
      <c r="H45" t="s">
        <v>100</v>
      </c>
    </row>
    <row r="46" spans="1:10" x14ac:dyDescent="0.15">
      <c r="A46" s="2" t="s">
        <v>32</v>
      </c>
      <c r="B46" t="s">
        <v>49</v>
      </c>
      <c r="C46">
        <v>37</v>
      </c>
      <c r="D46" s="8">
        <v>237</v>
      </c>
      <c r="E46" s="8">
        <v>0</v>
      </c>
      <c r="F46" s="8">
        <v>0</v>
      </c>
    </row>
  </sheetData>
  <pageMargins left="0.7" right="0.7" top="0.75" bottom="0.75" header="0.3" footer="0.3"/>
  <pageSetup paperSize="9" scale="94" fitToHeight="2"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D423-E1FA-584A-BBD0-E20DBD0A2BD3}">
  <sheetPr codeName="Blad2"/>
  <dimension ref="A1:E37"/>
  <sheetViews>
    <sheetView workbookViewId="0">
      <selection activeCell="C5" sqref="C5"/>
    </sheetView>
  </sheetViews>
  <sheetFormatPr baseColWidth="10" defaultRowHeight="13" x14ac:dyDescent="0.15"/>
  <cols>
    <col min="1" max="1" width="3.1640625" customWidth="1"/>
    <col min="2" max="2" width="45" bestFit="1" customWidth="1"/>
    <col min="3" max="3" width="12.83203125" customWidth="1"/>
    <col min="6" max="6" width="10.1640625" bestFit="1" customWidth="1"/>
  </cols>
  <sheetData>
    <row r="1" spans="1:5" ht="16" x14ac:dyDescent="0.2">
      <c r="B1" s="13" t="s">
        <v>52</v>
      </c>
      <c r="C1" s="7" t="s">
        <v>93</v>
      </c>
      <c r="D1" s="7"/>
    </row>
    <row r="2" spans="1:5" ht="16" x14ac:dyDescent="0.2">
      <c r="B2" s="7"/>
      <c r="C2" s="7"/>
      <c r="D2" s="14" t="s">
        <v>89</v>
      </c>
      <c r="E2" s="14" t="s">
        <v>90</v>
      </c>
    </row>
    <row r="3" spans="1:5" ht="16" x14ac:dyDescent="0.2">
      <c r="B3" s="13" t="s">
        <v>53</v>
      </c>
      <c r="C3" s="10" t="s">
        <v>64</v>
      </c>
      <c r="D3" s="7" t="str">
        <f>IF(FIND("x",C3,1)&gt;0,RIGHT(C3,4),VALUE(C3))</f>
        <v>011F</v>
      </c>
      <c r="E3" s="9">
        <f>HEX2DEC(D3)</f>
        <v>287</v>
      </c>
    </row>
    <row r="4" spans="1:5" ht="16" x14ac:dyDescent="0.2">
      <c r="A4" t="s">
        <v>94</v>
      </c>
      <c r="B4" s="7"/>
      <c r="C4" s="7"/>
      <c r="D4" s="7"/>
    </row>
    <row r="5" spans="1:5" ht="16" x14ac:dyDescent="0.2">
      <c r="A5">
        <v>0</v>
      </c>
      <c r="B5" s="7" t="s">
        <v>54</v>
      </c>
      <c r="C5" s="11">
        <f t="shared" ref="C5:C14" si="0">_xlfn.BITAND(E$3,POWER(2,A5))/POWER(2,A5)</f>
        <v>1</v>
      </c>
      <c r="D5" s="11" t="str">
        <f>IF((C5&gt;0),"HIGH","")</f>
        <v>HIGH</v>
      </c>
    </row>
    <row r="6" spans="1:5" ht="16" x14ac:dyDescent="0.2">
      <c r="A6">
        <v>1</v>
      </c>
      <c r="B6" s="7" t="s">
        <v>55</v>
      </c>
      <c r="C6" s="11">
        <f t="shared" si="0"/>
        <v>1</v>
      </c>
      <c r="D6" s="11" t="str">
        <f t="shared" ref="D6:D14" si="1">IF((C6&gt;0),"HIGH","")</f>
        <v>HIGH</v>
      </c>
    </row>
    <row r="7" spans="1:5" ht="16" x14ac:dyDescent="0.2">
      <c r="A7">
        <v>2</v>
      </c>
      <c r="B7" s="7" t="s">
        <v>56</v>
      </c>
      <c r="C7" s="11">
        <f t="shared" si="0"/>
        <v>1</v>
      </c>
      <c r="D7" s="11" t="str">
        <f t="shared" si="1"/>
        <v>HIGH</v>
      </c>
    </row>
    <row r="8" spans="1:5" ht="16" x14ac:dyDescent="0.2">
      <c r="A8">
        <v>3</v>
      </c>
      <c r="B8" s="7" t="s">
        <v>57</v>
      </c>
      <c r="C8" s="11">
        <f t="shared" si="0"/>
        <v>1</v>
      </c>
      <c r="D8" s="11" t="str">
        <f t="shared" si="1"/>
        <v>HIGH</v>
      </c>
    </row>
    <row r="9" spans="1:5" ht="16" x14ac:dyDescent="0.2">
      <c r="A9">
        <v>4</v>
      </c>
      <c r="B9" s="7" t="s">
        <v>58</v>
      </c>
      <c r="C9" s="11">
        <f t="shared" si="0"/>
        <v>1</v>
      </c>
      <c r="D9" s="11" t="str">
        <f t="shared" si="1"/>
        <v>HIGH</v>
      </c>
    </row>
    <row r="10" spans="1:5" ht="16" x14ac:dyDescent="0.2">
      <c r="A10">
        <v>5</v>
      </c>
      <c r="B10" s="7" t="s">
        <v>59</v>
      </c>
      <c r="C10" s="11">
        <f t="shared" si="0"/>
        <v>0</v>
      </c>
      <c r="D10" s="11" t="str">
        <f t="shared" si="1"/>
        <v/>
      </c>
    </row>
    <row r="11" spans="1:5" ht="16" x14ac:dyDescent="0.2">
      <c r="A11">
        <v>6</v>
      </c>
      <c r="B11" s="7" t="s">
        <v>60</v>
      </c>
      <c r="C11" s="11">
        <f t="shared" si="0"/>
        <v>0</v>
      </c>
      <c r="D11" s="11" t="str">
        <f t="shared" si="1"/>
        <v/>
      </c>
    </row>
    <row r="12" spans="1:5" ht="16" x14ac:dyDescent="0.2">
      <c r="A12">
        <v>7</v>
      </c>
      <c r="B12" s="7" t="s">
        <v>61</v>
      </c>
      <c r="C12" s="11">
        <f t="shared" si="0"/>
        <v>0</v>
      </c>
      <c r="D12" s="11" t="str">
        <f t="shared" si="1"/>
        <v/>
      </c>
    </row>
    <row r="13" spans="1:5" ht="16" x14ac:dyDescent="0.2">
      <c r="A13">
        <v>8</v>
      </c>
      <c r="B13" s="7" t="s">
        <v>62</v>
      </c>
      <c r="C13" s="11">
        <f t="shared" si="0"/>
        <v>1</v>
      </c>
      <c r="D13" s="11" t="str">
        <f t="shared" si="1"/>
        <v>HIGH</v>
      </c>
    </row>
    <row r="14" spans="1:5" ht="16" x14ac:dyDescent="0.2">
      <c r="A14">
        <v>9</v>
      </c>
      <c r="B14" s="7" t="s">
        <v>63</v>
      </c>
      <c r="C14" s="11">
        <f t="shared" si="0"/>
        <v>0</v>
      </c>
      <c r="D14" s="11" t="str">
        <f t="shared" si="1"/>
        <v/>
      </c>
    </row>
    <row r="15" spans="1:5" ht="16" x14ac:dyDescent="0.2">
      <c r="B15" s="7"/>
      <c r="C15" s="7"/>
      <c r="D15" s="7"/>
    </row>
    <row r="16" spans="1:5" ht="16" x14ac:dyDescent="0.2">
      <c r="B16" s="7"/>
      <c r="C16" s="7"/>
      <c r="D16" s="14" t="s">
        <v>89</v>
      </c>
      <c r="E16" s="14" t="s">
        <v>90</v>
      </c>
    </row>
    <row r="17" spans="1:5" ht="16" x14ac:dyDescent="0.2">
      <c r="B17" s="13" t="s">
        <v>65</v>
      </c>
      <c r="C17" s="10" t="s">
        <v>84</v>
      </c>
      <c r="D17" s="7" t="str">
        <f>IF(FIND("x",C17,1)&gt;0,RIGHT(C17,4),VALUE(C17))</f>
        <v>8013</v>
      </c>
      <c r="E17" s="9">
        <f>HEX2DEC(D17)</f>
        <v>32787</v>
      </c>
    </row>
    <row r="18" spans="1:5" ht="16" x14ac:dyDescent="0.2">
      <c r="A18" t="s">
        <v>94</v>
      </c>
      <c r="B18" s="7"/>
      <c r="C18" s="12"/>
      <c r="D18" s="7"/>
    </row>
    <row r="19" spans="1:5" ht="16" x14ac:dyDescent="0.2">
      <c r="A19">
        <v>0</v>
      </c>
      <c r="B19" s="7" t="s">
        <v>66</v>
      </c>
      <c r="C19" s="11">
        <f t="shared" ref="C19:C36" si="2">_xlfn.BITAND(E$17,POWER(2,A19))/POWER(2,A19)</f>
        <v>1</v>
      </c>
      <c r="D19" s="11" t="str">
        <f>IF((C19&gt;0),"HIGH","")</f>
        <v>HIGH</v>
      </c>
    </row>
    <row r="20" spans="1:5" ht="16" x14ac:dyDescent="0.2">
      <c r="A20">
        <v>1</v>
      </c>
      <c r="B20" s="7" t="s">
        <v>67</v>
      </c>
      <c r="C20" s="11">
        <f t="shared" si="2"/>
        <v>1</v>
      </c>
      <c r="D20" s="11" t="str">
        <f t="shared" ref="D20:D36" si="3">IF((C20&gt;0),"HIGH","")</f>
        <v>HIGH</v>
      </c>
    </row>
    <row r="21" spans="1:5" ht="16" x14ac:dyDescent="0.2">
      <c r="A21">
        <v>2</v>
      </c>
      <c r="B21" s="7" t="s">
        <v>68</v>
      </c>
      <c r="C21" s="11">
        <f t="shared" si="2"/>
        <v>0</v>
      </c>
      <c r="D21" s="11" t="str">
        <f t="shared" si="3"/>
        <v/>
      </c>
    </row>
    <row r="22" spans="1:5" ht="16" x14ac:dyDescent="0.2">
      <c r="A22">
        <v>3</v>
      </c>
      <c r="B22" s="7" t="s">
        <v>69</v>
      </c>
      <c r="C22" s="11">
        <f t="shared" si="2"/>
        <v>0</v>
      </c>
      <c r="D22" s="11" t="str">
        <f t="shared" si="3"/>
        <v/>
      </c>
    </row>
    <row r="23" spans="1:5" ht="16" x14ac:dyDescent="0.2">
      <c r="A23">
        <v>4</v>
      </c>
      <c r="B23" s="7" t="s">
        <v>70</v>
      </c>
      <c r="C23" s="11">
        <f t="shared" si="2"/>
        <v>1</v>
      </c>
      <c r="D23" s="11" t="str">
        <f t="shared" si="3"/>
        <v>HIGH</v>
      </c>
    </row>
    <row r="24" spans="1:5" ht="16" x14ac:dyDescent="0.2">
      <c r="A24">
        <v>5</v>
      </c>
      <c r="B24" s="7" t="s">
        <v>71</v>
      </c>
      <c r="C24" s="11">
        <f t="shared" si="2"/>
        <v>0</v>
      </c>
      <c r="D24" s="11" t="str">
        <f t="shared" si="3"/>
        <v/>
      </c>
    </row>
    <row r="25" spans="1:5" ht="16" x14ac:dyDescent="0.2">
      <c r="A25">
        <v>6</v>
      </c>
      <c r="B25" s="7" t="s">
        <v>72</v>
      </c>
      <c r="C25" s="11">
        <f t="shared" si="2"/>
        <v>0</v>
      </c>
      <c r="D25" s="11" t="str">
        <f t="shared" si="3"/>
        <v/>
      </c>
    </row>
    <row r="26" spans="1:5" ht="16" x14ac:dyDescent="0.2">
      <c r="A26">
        <v>7</v>
      </c>
      <c r="B26" s="7" t="s">
        <v>73</v>
      </c>
      <c r="C26" s="11">
        <f t="shared" si="2"/>
        <v>0</v>
      </c>
      <c r="D26" s="11" t="str">
        <f t="shared" si="3"/>
        <v/>
      </c>
    </row>
    <row r="27" spans="1:5" ht="16" x14ac:dyDescent="0.2">
      <c r="A27">
        <v>8</v>
      </c>
      <c r="B27" s="7" t="s">
        <v>74</v>
      </c>
      <c r="C27" s="11">
        <f t="shared" si="2"/>
        <v>0</v>
      </c>
      <c r="D27" s="11" t="str">
        <f t="shared" si="3"/>
        <v/>
      </c>
    </row>
    <row r="28" spans="1:5" ht="16" x14ac:dyDescent="0.2">
      <c r="A28">
        <v>9</v>
      </c>
      <c r="B28" s="7" t="s">
        <v>75</v>
      </c>
      <c r="C28" s="11">
        <f t="shared" si="2"/>
        <v>0</v>
      </c>
      <c r="D28" s="11" t="str">
        <f t="shared" si="3"/>
        <v/>
      </c>
    </row>
    <row r="29" spans="1:5" ht="16" x14ac:dyDescent="0.2">
      <c r="A29">
        <v>10</v>
      </c>
      <c r="B29" s="7" t="s">
        <v>76</v>
      </c>
      <c r="C29" s="11">
        <f t="shared" si="2"/>
        <v>0</v>
      </c>
      <c r="D29" s="11" t="str">
        <f t="shared" si="3"/>
        <v/>
      </c>
    </row>
    <row r="30" spans="1:5" ht="16" x14ac:dyDescent="0.2">
      <c r="A30">
        <v>11</v>
      </c>
      <c r="B30" s="7" t="s">
        <v>77</v>
      </c>
      <c r="C30" s="11">
        <f t="shared" si="2"/>
        <v>0</v>
      </c>
      <c r="D30" s="11" t="str">
        <f t="shared" si="3"/>
        <v/>
      </c>
    </row>
    <row r="31" spans="1:5" ht="16" x14ac:dyDescent="0.2">
      <c r="A31">
        <v>12</v>
      </c>
      <c r="B31" s="7" t="s">
        <v>78</v>
      </c>
      <c r="C31" s="11">
        <f t="shared" si="2"/>
        <v>0</v>
      </c>
      <c r="D31" s="11" t="str">
        <f t="shared" si="3"/>
        <v/>
      </c>
    </row>
    <row r="32" spans="1:5" ht="16" x14ac:dyDescent="0.2">
      <c r="A32">
        <v>13</v>
      </c>
      <c r="B32" s="7" t="s">
        <v>79</v>
      </c>
      <c r="C32" s="11">
        <f t="shared" si="2"/>
        <v>0</v>
      </c>
      <c r="D32" s="11" t="str">
        <f t="shared" si="3"/>
        <v/>
      </c>
    </row>
    <row r="33" spans="1:4" ht="16" x14ac:dyDescent="0.2">
      <c r="A33">
        <v>14</v>
      </c>
      <c r="B33" s="7" t="s">
        <v>80</v>
      </c>
      <c r="C33" s="11">
        <f t="shared" si="2"/>
        <v>0</v>
      </c>
      <c r="D33" s="11" t="str">
        <f t="shared" si="3"/>
        <v/>
      </c>
    </row>
    <row r="34" spans="1:4" ht="16" x14ac:dyDescent="0.2">
      <c r="A34">
        <v>15</v>
      </c>
      <c r="B34" s="7" t="s">
        <v>81</v>
      </c>
      <c r="C34" s="11">
        <f t="shared" si="2"/>
        <v>1</v>
      </c>
      <c r="D34" s="11" t="str">
        <f t="shared" si="3"/>
        <v>HIGH</v>
      </c>
    </row>
    <row r="35" spans="1:4" ht="16" x14ac:dyDescent="0.2">
      <c r="A35">
        <v>16</v>
      </c>
      <c r="B35" s="7" t="s">
        <v>82</v>
      </c>
      <c r="C35" s="11">
        <f t="shared" si="2"/>
        <v>0</v>
      </c>
      <c r="D35" s="11" t="str">
        <f t="shared" si="3"/>
        <v/>
      </c>
    </row>
    <row r="36" spans="1:4" ht="16" x14ac:dyDescent="0.2">
      <c r="A36">
        <v>17</v>
      </c>
      <c r="B36" s="7" t="s">
        <v>83</v>
      </c>
      <c r="C36" s="11">
        <f t="shared" si="2"/>
        <v>0</v>
      </c>
      <c r="D36" s="11" t="str">
        <f t="shared" si="3"/>
        <v/>
      </c>
    </row>
    <row r="37" spans="1:4" ht="16" x14ac:dyDescent="0.2">
      <c r="B37" s="7"/>
      <c r="C37" s="7"/>
      <c r="D37" s="7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ln2b</vt:lpstr>
      <vt:lpstr>status</vt:lpstr>
      <vt:lpstr>ln2b!Afdrukbereik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2021-09-30T13:12:49Z</cp:lastPrinted>
  <dcterms:created xsi:type="dcterms:W3CDTF">2021-09-15T07:35:42Z</dcterms:created>
  <dcterms:modified xsi:type="dcterms:W3CDTF">2021-11-12T07:56:19Z</dcterms:modified>
</cp:coreProperties>
</file>